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ashboard" sheetId="2" state="visible" r:id="rId2"/>
    <sheet xmlns:r="http://schemas.openxmlformats.org/officeDocument/2006/relationships" name="Test Log" sheetId="3" state="visible" r:id="rId3"/>
    <sheet xmlns:r="http://schemas.openxmlformats.org/officeDocument/2006/relationships" name="Defect Log" sheetId="4" state="visible" r:id="rId4"/>
    <sheet xmlns:r="http://schemas.openxmlformats.org/officeDocument/2006/relationships" name="Change Requests" sheetId="5" state="visible" r:id="rId5"/>
    <sheet xmlns:r="http://schemas.openxmlformats.org/officeDocument/2006/relationships" name="Modules" sheetId="6" state="visible" r:id="rId6"/>
    <sheet xmlns:r="http://schemas.openxmlformats.org/officeDocument/2006/relationships" name="Roles &amp; Logins" sheetId="7" state="visible" r:id="rId7"/>
    <sheet xmlns:r="http://schemas.openxmlformats.org/officeDocument/2006/relationships" name="Test Cycles" sheetId="8" state="visible" r:id="rId8"/>
    <sheet xmlns:r="http://schemas.openxmlformats.org/officeDocument/2006/relationships" name="Raw Notes (original)" sheetId="9" state="visible" r:id="rId9"/>
    <sheet xmlns:r="http://schemas.openxmlformats.org/officeDocument/2006/relationships" name="Lists" sheetId="10" state="visible" r:id="rId10"/>
  </sheets>
  <definedNames>
    <definedName name="_xlnm._FilterDatabase" localSheetId="2" hidden="1">'Test Log'!$A$2:$AA$2</definedName>
    <definedName name="_xlnm._FilterDatabase" localSheetId="3" hidden="1">'Defect Log'!$A$2:$Z$2</definedName>
    <definedName name="_xlnm._FilterDatabase" localSheetId="4" hidden="1">'Change Requests'!$A$2:$T$2</definedName>
    <definedName name="_xlnm._FilterDatabase" localSheetId="5" hidden="1">'Modules'!$A$2:$N$2</definedName>
    <definedName name="_xlnm._FilterDatabase" localSheetId="6" hidden="1">'Roles &amp; Logins'!$A$2:$F$2</definedName>
    <definedName name="_xlnm._FilterDatabase" localSheetId="7" hidden="1">'Test Cycles'!$A$2:$Q$2</definedName>
    <definedName name="_xlnm._FilterDatabase" localSheetId="8" hidden="1">'Raw Notes (original)'!$A$2:$C$2</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FFFFFF"/>
      <sz val="16"/>
    </font>
    <font>
      <b val="1"/>
      <sz val="10"/>
    </font>
    <font>
      <sz val="10"/>
    </font>
    <font>
      <b val="1"/>
      <color rgb="00FFFFFF"/>
      <sz val="11"/>
    </font>
    <font>
      <b val="1"/>
      <color rgb="00FFFFFF"/>
      <sz val="10"/>
    </font>
    <font>
      <b val="1"/>
      <color rgb="00FFFFFF"/>
      <sz val="12"/>
    </font>
    <font>
      <i val="1"/>
      <color rgb="007A8194"/>
      <sz val="10"/>
    </font>
    <font>
      <b val="1"/>
      <sz val="11"/>
    </font>
    <font>
      <color rgb="007A8194"/>
      <sz val="9"/>
    </font>
    <font>
      <b val="1"/>
      <color rgb="000B6B2F"/>
      <sz val="10"/>
    </font>
    <font>
      <b val="1"/>
      <color rgb="008A5A00"/>
      <sz val="10"/>
    </font>
    <font>
      <b val="1"/>
      <color rgb="009C0006"/>
      <sz val="10"/>
    </font>
  </fonts>
  <fills count="8">
    <fill>
      <patternFill/>
    </fill>
    <fill>
      <patternFill patternType="gray125"/>
    </fill>
    <fill>
      <patternFill patternType="solid">
        <fgColor rgb="001F2A44"/>
      </patternFill>
    </fill>
    <fill>
      <patternFill patternType="solid">
        <fgColor rgb="007539E4"/>
      </patternFill>
    </fill>
    <fill>
      <patternFill patternType="solid">
        <fgColor rgb="00F1F3F8"/>
      </patternFill>
    </fill>
    <fill>
      <patternFill patternType="solid">
        <fgColor rgb="00C6EFCE"/>
      </patternFill>
    </fill>
    <fill>
      <patternFill patternType="solid">
        <fgColor rgb="00FFE699"/>
      </patternFill>
    </fill>
    <fill>
      <patternFill patternType="solid">
        <fgColor rgb="00FFC7CE"/>
      </patternFill>
    </fill>
  </fills>
  <borders count="2">
    <border>
      <left/>
      <right/>
      <top/>
      <bottom/>
      <diagonal/>
    </border>
    <border>
      <left style="thin">
        <color rgb="00D5DAE5"/>
      </left>
      <right style="thin">
        <color rgb="00D5DAE5"/>
      </right>
      <top style="thin">
        <color rgb="00D5DAE5"/>
      </top>
      <bottom style="thin">
        <color rgb="00D5DAE5"/>
      </bottom>
    </border>
  </borders>
  <cellStyleXfs count="1">
    <xf numFmtId="0" fontId="0" fillId="0" borderId="0"/>
  </cellStyleXfs>
  <cellXfs count="24">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top" indent="1"/>
    </xf>
    <xf numFmtId="0" fontId="3" fillId="0" borderId="0" applyAlignment="1" pivotButton="0" quotePrefix="0" xfId="0">
      <alignment vertical="top" wrapText="1"/>
    </xf>
    <xf numFmtId="0" fontId="4" fillId="3" borderId="0" applyAlignment="1" pivotButton="0" quotePrefix="0" xfId="0">
      <alignment vertical="center" indent="1"/>
    </xf>
    <xf numFmtId="0" fontId="2" fillId="4" borderId="0" applyAlignment="1" pivotButton="0" quotePrefix="0" xfId="0">
      <alignment vertical="top" indent="1"/>
    </xf>
    <xf numFmtId="0" fontId="7" fillId="0" borderId="0" pivotButton="0" quotePrefix="0" xfId="0"/>
    <xf numFmtId="0" fontId="2" fillId="0" borderId="0" pivotButton="0" quotePrefix="0" xfId="0"/>
    <xf numFmtId="1" fontId="8" fillId="4" borderId="1" applyAlignment="1" pivotButton="0" quotePrefix="0" xfId="0">
      <alignment horizontal="center"/>
    </xf>
    <xf numFmtId="0" fontId="9" fillId="0" borderId="0" pivotButton="0" quotePrefix="0" xfId="0"/>
    <xf numFmtId="164" fontId="8" fillId="4" borderId="1" applyAlignment="1" pivotButton="0" quotePrefix="0" xfId="0">
      <alignment horizontal="center"/>
    </xf>
    <xf numFmtId="0" fontId="2" fillId="0" borderId="1" applyAlignment="1" pivotButton="0" quotePrefix="0" xfId="0">
      <alignment horizontal="center"/>
    </xf>
    <xf numFmtId="0" fontId="5" fillId="2" borderId="0" applyAlignment="1" pivotButton="0" quotePrefix="0" xfId="0">
      <alignment vertical="center" indent="1"/>
    </xf>
    <xf numFmtId="0" fontId="6" fillId="2" borderId="0" applyAlignment="1" pivotButton="0" quotePrefix="0" xfId="0">
      <alignment vertical="center" indent="1"/>
    </xf>
    <xf numFmtId="0" fontId="5" fillId="3" borderId="1" applyAlignment="1" pivotButton="0" quotePrefix="0" xfId="0">
      <alignment horizontal="center" vertical="center" wrapText="1"/>
    </xf>
    <xf numFmtId="0" fontId="7" fillId="0"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9" fontId="3" fillId="0" borderId="1" applyAlignment="1" pivotButton="0" quotePrefix="0" xfId="0">
      <alignment vertical="top" wrapText="1"/>
    </xf>
    <xf numFmtId="0" fontId="5" fillId="2" borderId="0" applyAlignment="1" pivotButton="0" quotePrefix="0" xfId="0">
      <alignment horizontal="center"/>
    </xf>
    <xf numFmtId="0" fontId="3" fillId="0" borderId="0" pivotButton="0" quotePrefix="0" xfId="0"/>
    <xf numFmtId="0" fontId="10" fillId="5" borderId="1" applyAlignment="1" pivotButton="0" quotePrefix="0" xfId="0">
      <alignment vertical="top" wrapText="1"/>
    </xf>
    <xf numFmtId="0" fontId="11" fillId="6" borderId="1" applyAlignment="1" pivotButton="0" quotePrefix="0" xfId="0">
      <alignment vertical="top" wrapText="1"/>
    </xf>
    <xf numFmtId="0" fontId="12" fillId="7" borderId="1" applyAlignment="1" pivotButton="0" quotePrefix="0" xfId="0">
      <alignment vertical="top" wrapText="1"/>
    </xf>
  </cellXfs>
  <cellStyles count="1">
    <cellStyle name="Normal" xfId="0" builtinId="0" hidden="0"/>
  </cellStyles>
  <dxfs count="4">
    <dxf>
      <font>
        <b val="1"/>
        <color rgb="000B6B2F"/>
      </font>
      <fill>
        <patternFill patternType="solid">
          <bgColor rgb="00C6EFCE"/>
        </patternFill>
      </fill>
    </dxf>
    <dxf>
      <font>
        <b val="1"/>
        <color rgb="009C0006"/>
      </font>
      <fill>
        <patternFill patternType="solid">
          <bgColor rgb="00FFC7CE"/>
        </patternFill>
      </fill>
    </dxf>
    <dxf>
      <font>
        <b val="1"/>
        <color rgb="008A5A00"/>
      </font>
      <fill>
        <patternFill patternType="solid">
          <bgColor rgb="00FFE699"/>
        </patternFill>
      </fill>
    </dxf>
    <dxf>
      <font>
        <b val="1"/>
        <color rgb="0050596B"/>
      </font>
      <fill>
        <patternFill patternType="solid">
          <bgColor rgb="00E4E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2A44"/>
    <outlinePr summaryBelow="1" summaryRight="1"/>
    <pageSetUpPr/>
  </sheetPr>
  <dimension ref="A1:B56"/>
  <sheetViews>
    <sheetView showGridLines="0" workbookViewId="0">
      <selection activeCell="A1" sqref="A1"/>
    </sheetView>
  </sheetViews>
  <sheetFormatPr baseColWidth="8" defaultRowHeight="15"/>
  <cols>
    <col width="30" customWidth="1" min="1" max="1"/>
    <col width="108" customWidth="1" min="2" max="2"/>
  </cols>
  <sheetData>
    <row r="1" ht="34" customHeight="1">
      <c r="A1" s="1" t="inlineStr">
        <is>
          <t>COREON EDU — MANUAL TEST EXECUTION WORKBOOK</t>
        </is>
      </c>
    </row>
    <row r="2" ht="16" customHeight="1">
      <c r="A2" s="2" t="inlineStr">
        <is>
          <t>Standard</t>
        </is>
      </c>
      <c r="B2" s="3" t="inlineStr">
        <is>
          <t>Test Case Specification + Defect Register, per ISO/IEC/IEEE 29119-3 (formerly IEEE 829).</t>
        </is>
      </c>
    </row>
    <row r="3" ht="16" customHeight="1">
      <c r="A3" s="2" t="inlineStr">
        <is>
          <t>Phase</t>
        </is>
      </c>
      <c r="B3" s="3" t="inlineStr">
        <is>
          <t>Test Design &amp; Test Execution, inside the System Testing stage of the STLC.</t>
        </is>
      </c>
    </row>
    <row r="4" ht="16" customHeight="1">
      <c r="A4" s="2" t="inlineStr">
        <is>
          <t>Product</t>
        </is>
      </c>
      <c r="B4" s="3" t="inlineStr">
        <is>
          <t>Coreon EDU — Kogia Group</t>
        </is>
      </c>
    </row>
    <row r="5" ht="16" customHeight="1">
      <c r="A5" s="2" t="inlineStr">
        <is>
          <t>Owner</t>
        </is>
      </c>
      <c r="B5" s="3" t="inlineStr">
        <is>
          <t>Othman Ounis</t>
        </is>
      </c>
    </row>
    <row r="7" ht="24" customHeight="1">
      <c r="A7" s="4" t="inlineStr">
        <is>
          <t>THE SHEETS</t>
        </is>
      </c>
    </row>
    <row r="8" ht="16" customHeight="1">
      <c r="A8" s="5" t="inlineStr">
        <is>
          <t>Dashboard</t>
        </is>
      </c>
      <c r="B8" s="3" t="inlineStr">
        <is>
          <t>Read-only. Auto-calculates pass rate, coverage and open defects. Do not type here.</t>
        </is>
      </c>
    </row>
    <row r="9" ht="16" customHeight="1">
      <c r="A9" s="5" t="inlineStr">
        <is>
          <t>Test Log</t>
        </is>
      </c>
      <c r="B9" s="3" t="inlineStr">
        <is>
          <t>THE MAIN SHEET. One row per element tested. This is where you spend your time.</t>
        </is>
      </c>
    </row>
    <row r="10" ht="30" customHeight="1">
      <c r="A10" s="5" t="inlineStr">
        <is>
          <t>Defect Log</t>
        </is>
      </c>
      <c r="B10" s="3" t="inlineStr">
        <is>
          <t>One row per BUG — something that is broken in what already exists. Every FAIL in Test Log points here.</t>
        </is>
      </c>
    </row>
    <row r="11" ht="30" customHeight="1">
      <c r="A11" s="5" t="inlineStr">
        <is>
          <t>Change Requests</t>
        </is>
      </c>
      <c r="B11" s="3" t="inlineStr">
        <is>
          <t>One row per thing to ADD or CHANGE. Not bugs. Enhancements, new features, design, content, epics, research.</t>
        </is>
      </c>
    </row>
    <row r="12" ht="16" customHeight="1">
      <c r="A12" s="5" t="inlineStr">
        <is>
          <t>Raw Notes (original)</t>
        </is>
      </c>
      <c r="B12" s="3" t="inlineStr">
        <is>
          <t>Your notes, kept word for word. Nothing is ever deleted from here — it is the audit trail.</t>
        </is>
      </c>
    </row>
    <row r="13" ht="16" customHeight="1">
      <c r="A13" s="5" t="inlineStr">
        <is>
          <t>Modules</t>
        </is>
      </c>
      <c r="B13" s="3" t="inlineStr">
        <is>
          <t>Inventory of all 46 screens. Tick them off as you cover them. Gives you the coverage %.</t>
        </is>
      </c>
    </row>
    <row r="14" ht="16" customHeight="1">
      <c r="A14" s="5" t="inlineStr">
        <is>
          <t>Roles &amp; Logins</t>
        </is>
      </c>
      <c r="B14" s="3" t="inlineStr">
        <is>
          <t>The 7 demo accounts. Use these, never invent new ones — results must be reproducible.</t>
        </is>
      </c>
    </row>
    <row r="15" ht="16" customHeight="1">
      <c r="A15" s="5" t="inlineStr">
        <is>
          <t>Test Cycles</t>
        </is>
      </c>
      <c r="B15" s="3" t="inlineStr">
        <is>
          <t>One row per round of testing (per release). Records the Go / No-Go decision.</t>
        </is>
      </c>
    </row>
    <row r="16" ht="16" customHeight="1">
      <c r="A16" s="5" t="inlineStr">
        <is>
          <t>Lists</t>
        </is>
      </c>
      <c r="B16" s="3" t="inlineStr">
        <is>
          <t>Source data for the dropdowns. Edit only if you want to change the allowed values.</t>
        </is>
      </c>
    </row>
    <row r="18" ht="24" customHeight="1">
      <c r="A18" s="4" t="inlineStr">
        <is>
          <t>HOW TO USE IT — THE LOOP</t>
        </is>
      </c>
    </row>
    <row r="19" ht="16" customHeight="1">
      <c r="A19" s="2" t="inlineStr">
        <is>
          <t>1. Pick a module</t>
        </is>
      </c>
      <c r="B19" s="3" t="inlineStr">
        <is>
          <t>Take one row from the Modules sheet. Test it completely before moving on. Do not jump around.</t>
        </is>
      </c>
    </row>
    <row r="20" ht="30" customHeight="1">
      <c r="A20" s="2" t="inlineStr">
        <is>
          <t>2. Pick a role</t>
        </is>
      </c>
      <c r="B20" s="3" t="inlineStr">
        <is>
          <t>Test the module as ONE role at a time. The same button can behave differently for a parent and for Direction.</t>
        </is>
      </c>
    </row>
    <row r="21" ht="30" customHeight="1">
      <c r="A21" s="2" t="inlineStr">
        <is>
          <t>3. Click everything</t>
        </is>
      </c>
      <c r="B21" s="3" t="inlineStr">
        <is>
          <t>Every button, link, tab, dropdown, toggle, icon, table header, modal close. One row in Test Log per element.</t>
        </is>
      </c>
    </row>
    <row r="22" ht="30" customHeight="1">
      <c r="A22" s="2" t="inlineStr">
        <is>
          <t>4. Write Expected BEFORE Actual</t>
        </is>
      </c>
      <c r="B22" s="3" t="inlineStr">
        <is>
          <t>Decide what SHOULD happen before you click. If you click first, you will accept whatever you see as normal. This is the single most important discipline in this file.</t>
        </is>
      </c>
    </row>
    <row r="23" ht="30" customHeight="1">
      <c r="A23" s="2" t="inlineStr">
        <is>
          <t>5. Mark the status</t>
        </is>
      </c>
      <c r="B23" s="3" t="inlineStr">
        <is>
          <t>PASS / FAIL / BLOCKED / NOT RUN / N-A. Blocked means you could not test it because something else is broken — it is not a Fail.</t>
        </is>
      </c>
    </row>
    <row r="24" ht="16" customHeight="1">
      <c r="A24" s="2" t="inlineStr">
        <is>
          <t>6. Log the defect</t>
        </is>
      </c>
      <c r="B24" s="3" t="inlineStr">
        <is>
          <t>Every FAIL gets a row in Defect Log and its ID written back into the Test Log row.</t>
        </is>
      </c>
    </row>
    <row r="25" ht="16" customHeight="1">
      <c r="A25" s="2" t="inlineStr">
        <is>
          <t>7. Retest after the fix</t>
        </is>
      </c>
      <c r="B25" s="3" t="inlineStr">
        <is>
          <t>Set Retest to PASS or FAIL. Never close a defect without retesting it yourself.</t>
        </is>
      </c>
    </row>
    <row r="27" ht="24" customHeight="1">
      <c r="A27" s="4" t="inlineStr">
        <is>
          <t>DEFECT vs CHANGE REQUEST — THE MOST IMPORTANT DISTINCTION IN THIS FILE</t>
        </is>
      </c>
    </row>
    <row r="28" ht="30" customHeight="1">
      <c r="A28" s="2" t="inlineStr">
        <is>
          <t>A DEFECT is</t>
        </is>
      </c>
      <c r="B28" s="3" t="inlineStr">
        <is>
          <t>The product does not do what it was supposed to do. Something is broken. It goes in the Defect Log.</t>
        </is>
      </c>
    </row>
    <row r="29" ht="30" customHeight="1">
      <c r="A29" s="2" t="inlineStr">
        <is>
          <t>A CHANGE REQUEST is</t>
        </is>
      </c>
      <c r="B29" s="3" t="inlineStr">
        <is>
          <t>The product works as designed, but the design itself should change. Nothing is broken. It goes in Change Requests.</t>
        </is>
      </c>
    </row>
    <row r="30" ht="30" customHeight="1">
      <c r="A30" s="2" t="inlineStr">
        <is>
          <t>Why keep them apart</t>
        </is>
      </c>
      <c r="B30" s="3" t="inlineStr">
        <is>
          <t>They are decided by different people, cost different money, and answer different questions. A defect asks 'when is it fixed'. A change request asks 'do we even want it, and is it worth the price'. Mixing them into one list is the fastest way to lose control of a product.</t>
        </is>
      </c>
    </row>
    <row r="31" ht="30" customHeight="1">
      <c r="A31" s="2" t="inlineStr">
        <is>
          <t>The test</t>
        </is>
      </c>
      <c r="B31" s="3" t="inlineStr">
        <is>
          <t>Ask: was it ever meant to work this way? If yes and it does not -&gt; defect. If it works as intended and you simply want something else -&gt; change request.</t>
        </is>
      </c>
    </row>
    <row r="32" ht="16" customHeight="1">
      <c r="A32" s="2" t="inlineStr">
        <is>
          <t>Example - defect</t>
        </is>
      </c>
      <c r="B32" s="3" t="inlineStr">
        <is>
          <t>The login page does not fit the browser window. It was never meant to overflow. DEF-001.</t>
        </is>
      </c>
    </row>
    <row r="33" ht="30" customHeight="1">
      <c r="A33" s="2" t="inlineStr">
        <is>
          <t>Example - change request</t>
        </is>
      </c>
      <c r="B33" s="3" t="inlineStr">
        <is>
          <t>Make the weather widget smaller. It works exactly as built; you want a different design. CR-015.</t>
        </is>
      </c>
    </row>
    <row r="35" ht="24" customHeight="1">
      <c r="A35" s="4" t="inlineStr">
        <is>
          <t>SEVERITY vs PRIORITY — THEY ARE NOT THE SAME</t>
        </is>
      </c>
    </row>
    <row r="36" ht="16" customHeight="1">
      <c r="A36" s="2" t="inlineStr">
        <is>
          <t>Severity</t>
        </is>
      </c>
      <c r="B36" s="3" t="inlineStr">
        <is>
          <t>How much damage the bug does. Set by the tester. Critical / Major / Minor / Trivial.</t>
        </is>
      </c>
    </row>
    <row r="37" ht="16" customHeight="1">
      <c r="A37" s="2" t="inlineStr">
        <is>
          <t>Priority</t>
        </is>
      </c>
      <c r="B37" s="3" t="inlineStr">
        <is>
          <t>How fast it must be fixed. Set by the product owner. P1 / P2 / P3 / P4.</t>
        </is>
      </c>
    </row>
    <row r="38" ht="30" customHeight="1">
      <c r="A38" s="2" t="inlineStr">
        <is>
          <t>Example</t>
        </is>
      </c>
      <c r="B38" s="3" t="inlineStr">
        <is>
          <t>A typo on the landing page is Trivial severity — but P1 priority if a school is visiting the site tomorrow.</t>
        </is>
      </c>
    </row>
    <row r="40" ht="24" customHeight="1">
      <c r="A40" s="4" t="inlineStr">
        <is>
          <t>SEVERITY SCALE</t>
        </is>
      </c>
    </row>
    <row r="41" ht="30" customHeight="1">
      <c r="A41" s="2" t="inlineStr">
        <is>
          <t>Critical</t>
        </is>
      </c>
      <c r="B41" s="3" t="inlineStr">
        <is>
          <t>Data loss, data leak between roles, money is wrong, or the app cannot be used at all. Stop the release.</t>
        </is>
      </c>
    </row>
    <row r="42" ht="16" customHeight="1">
      <c r="A42" s="2" t="inlineStr">
        <is>
          <t>Major</t>
        </is>
      </c>
      <c r="B42" s="3" t="inlineStr">
        <is>
          <t>A main function does not work, and there is no workaround.</t>
        </is>
      </c>
    </row>
    <row r="43" ht="16" customHeight="1">
      <c r="A43" s="2" t="inlineStr">
        <is>
          <t>Minor</t>
        </is>
      </c>
      <c r="B43" s="3" t="inlineStr">
        <is>
          <t>A function works but behaves wrongly, or there is an acceptable workaround.</t>
        </is>
      </c>
    </row>
    <row r="44" ht="16" customHeight="1">
      <c r="A44" s="2" t="inlineStr">
        <is>
          <t>Trivial</t>
        </is>
      </c>
      <c r="B44" s="3" t="inlineStr">
        <is>
          <t>Cosmetic: spacing, wording, colour, alignment.</t>
        </is>
      </c>
    </row>
    <row r="46" ht="24" customHeight="1">
      <c r="A46" s="4" t="inlineStr">
        <is>
          <t>RULES THAT MAKE THIS WORKBOOK WORTH KEEPING</t>
        </is>
      </c>
    </row>
    <row r="47" ht="30" customHeight="1">
      <c r="A47" s="2" t="inlineStr">
        <is>
          <t>Be reproducible</t>
        </is>
      </c>
      <c r="B47" s="3" t="inlineStr">
        <is>
          <t>Anyone must be able to read a row and reproduce your result exactly. If they cannot, the row is worthless.</t>
        </is>
      </c>
    </row>
    <row r="48" ht="16" customHeight="1">
      <c r="A48" s="2" t="inlineStr">
        <is>
          <t>One element, one row</t>
        </is>
      </c>
      <c r="B48" s="3" t="inlineStr">
        <is>
          <t>Never write 'tested the whole page'. That hides everything you did not check.</t>
        </is>
      </c>
    </row>
    <row r="49" ht="16" customHeight="1">
      <c r="A49" s="2" t="inlineStr">
        <is>
          <t>Never delete a row</t>
        </is>
      </c>
      <c r="B49" s="3" t="inlineStr">
        <is>
          <t>A test that no longer applies is marked N-A, not erased. History is the point.</t>
        </is>
      </c>
    </row>
    <row r="50" ht="30" customHeight="1">
      <c r="A50" s="2" t="inlineStr">
        <is>
          <t>Test as the user, not the author</t>
        </is>
      </c>
      <c r="B50" s="3" t="inlineStr">
        <is>
          <t>Write your Expected Result from the specification, not from your own code. Otherwise you only test what you remembered to build.</t>
        </is>
      </c>
    </row>
    <row r="51" ht="16" customHeight="1">
      <c r="A51" s="2" t="inlineStr">
        <is>
          <t>Record the build</t>
        </is>
      </c>
      <c r="B51" s="3" t="inlineStr">
        <is>
          <t>A result without a build number cannot be trusted a week later.</t>
        </is>
      </c>
    </row>
    <row r="53" ht="24" customHeight="1">
      <c r="A53" s="4" t="inlineStr">
        <is>
          <t>WHAT AUTOMATION ALREADY COVERS — DO NOT REDO IT BY HAND</t>
        </is>
      </c>
    </row>
    <row r="54" ht="16" customHeight="1">
      <c r="A54" s="2" t="inlineStr">
        <is>
          <t>Automated suites</t>
        </is>
      </c>
      <c r="B54" s="3" t="inlineStr">
        <is>
          <t>56 core tests, 11 server tests, 17 Playwright end-to-end journeys, all gating the deploy in CI.</t>
        </is>
      </c>
    </row>
    <row r="55" ht="30" customHeight="1">
      <c r="A55" s="2" t="inlineStr">
        <is>
          <t>Dead-button audit</t>
        </is>
      </c>
      <c r="B55" s="3" t="inlineStr">
        <is>
          <t>e2e/outil.audit-clics.mjs already clicks every button on every page for 3 roles and reports dead ones.</t>
        </is>
      </c>
    </row>
    <row r="56" ht="30" customHeight="1">
      <c r="A56" s="2" t="inlineStr">
        <is>
          <t>Spend your manual time on</t>
        </is>
      </c>
      <c r="B56" s="3" t="inlineStr">
        <is>
          <t>Does it look right · Does it read right in Arabic (RTL) · Is the business rule correct · Is the number correct · Does it make sense to a real school.</t>
        </is>
      </c>
    </row>
  </sheetData>
  <mergeCells count="8">
    <mergeCell ref="A7:B7"/>
    <mergeCell ref="A46:B46"/>
    <mergeCell ref="A1:B1"/>
    <mergeCell ref="A40:B40"/>
    <mergeCell ref="A18:B18"/>
    <mergeCell ref="A27:B27"/>
    <mergeCell ref="A53:B53"/>
    <mergeCell ref="A35:B35"/>
  </mergeCells>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B2:F54"/>
  <sheetViews>
    <sheetView showGridLines="0" workbookViewId="0">
      <selection activeCell="A1" sqref="A1"/>
    </sheetView>
  </sheetViews>
  <sheetFormatPr baseColWidth="8" defaultRowHeight="15"/>
  <cols>
    <col width="4" customWidth="1" min="1" max="1"/>
    <col width="34" customWidth="1" min="2" max="2"/>
    <col width="16" customWidth="1" min="3" max="3"/>
    <col width="16" customWidth="1" min="4" max="4"/>
    <col width="16" customWidth="1" min="5" max="5"/>
    <col width="44" customWidth="1" min="6" max="6"/>
  </cols>
  <sheetData>
    <row r="2" ht="34" customHeight="1">
      <c r="B2" s="1" t="inlineStr">
        <is>
          <t>COREON EDU — QA DASHBOARD</t>
        </is>
      </c>
    </row>
    <row r="3">
      <c r="B3" s="6" t="inlineStr">
        <is>
          <t>Read-only — every number is calculated from the other sheets. Do not type in column C.</t>
        </is>
      </c>
    </row>
    <row r="5" ht="22" customHeight="1">
      <c r="B5" s="4" t="inlineStr">
        <is>
          <t>TEST EXECUTION</t>
        </is>
      </c>
    </row>
    <row r="6">
      <c r="B6" s="7" t="inlineStr">
        <is>
          <t>Test cases logged</t>
        </is>
      </c>
      <c r="C6" s="8">
        <f>COUNTA('Test Log'!A3:A600)</f>
        <v/>
      </c>
      <c r="F6" s="9" t="inlineStr">
        <is>
          <t>Rows filled in the Test Log</t>
        </is>
      </c>
    </row>
    <row r="7">
      <c r="B7" s="7" t="inlineStr">
        <is>
          <t>Executed</t>
        </is>
      </c>
      <c r="C7" s="8">
        <f>COUNTIFS('Test Log'!T3:T600,"PASS")+COUNTIFS('Test Log'!T3:T600,"FAIL")+COUNTIFS('Test Log'!T3:T600,"BLOCKED")</f>
        <v/>
      </c>
      <c r="F7" s="9" t="inlineStr">
        <is>
          <t>Pass + Fail + Blocked</t>
        </is>
      </c>
    </row>
    <row r="8">
      <c r="B8" s="7" t="inlineStr">
        <is>
          <t>Passed</t>
        </is>
      </c>
      <c r="C8" s="8">
        <f>COUNTIF('Test Log'!T3:T600,"PASS")</f>
        <v/>
      </c>
      <c r="F8" s="9" t="inlineStr"/>
    </row>
    <row r="9">
      <c r="B9" s="7" t="inlineStr">
        <is>
          <t>Failed</t>
        </is>
      </c>
      <c r="C9" s="8">
        <f>COUNTIF('Test Log'!T3:T600,"FAIL")</f>
        <v/>
      </c>
      <c r="F9" s="9" t="inlineStr"/>
    </row>
    <row r="10">
      <c r="B10" s="7" t="inlineStr">
        <is>
          <t>Blocked</t>
        </is>
      </c>
      <c r="C10" s="8">
        <f>COUNTIF('Test Log'!T3:T600,"BLOCKED")</f>
        <v/>
      </c>
      <c r="F10" s="9" t="inlineStr">
        <is>
          <t>Could not be tested — not the same as a failure</t>
        </is>
      </c>
    </row>
    <row r="11">
      <c r="B11" s="7" t="inlineStr">
        <is>
          <t>Not run</t>
        </is>
      </c>
      <c r="C11" s="8">
        <f>COUNTIF('Test Log'!T3:T600,"NOT RUN")</f>
        <v/>
      </c>
      <c r="F11" s="9" t="inlineStr"/>
    </row>
    <row r="12">
      <c r="B12" s="7" t="inlineStr">
        <is>
          <t>Pass rate</t>
        </is>
      </c>
      <c r="C12" s="10">
        <f>IF(C7=0,"",C8/C7)</f>
        <v/>
      </c>
      <c r="F12" s="9" t="inlineStr">
        <is>
          <t>Passed / executed</t>
        </is>
      </c>
    </row>
    <row r="13">
      <c r="B13" s="7" t="inlineStr">
        <is>
          <t>Execution progress</t>
        </is>
      </c>
      <c r="C13" s="10">
        <f>IF(C6=0,"",C7/C6)</f>
        <v/>
      </c>
      <c r="F13" s="9" t="inlineStr">
        <is>
          <t>Executed / logged</t>
        </is>
      </c>
    </row>
    <row r="15" ht="22" customHeight="1">
      <c r="B15" s="4" t="inlineStr">
        <is>
          <t>DEFECTS</t>
        </is>
      </c>
    </row>
    <row r="16">
      <c r="B16" s="7" t="inlineStr">
        <is>
          <t>Total defects</t>
        </is>
      </c>
      <c r="C16" s="8">
        <f>COUNTA('Defect Log'!A3:A400)</f>
        <v/>
      </c>
      <c r="F16" s="9" t="inlineStr"/>
    </row>
    <row r="17">
      <c r="B17" s="7" t="inlineStr">
        <is>
          <t>Open</t>
        </is>
      </c>
      <c r="C17" s="8">
        <f>COUNTA('Defect Log'!A3:A400)-COUNTIFS('Defect Log'!U3:U400,"CLOSED")-COUNTIFS('Defect Log'!U3:U400,"WON'T FIX")-COUNTIFS('Defect Log'!U3:U400,"DUPLICATE")-COUNTIFS('Defect Log'!U3:U400,"NOT A BUG")</f>
        <v/>
      </c>
      <c r="F17" s="9" t="inlineStr"/>
    </row>
    <row r="18">
      <c r="B18" s="7" t="inlineStr">
        <is>
          <t>Open Critical</t>
        </is>
      </c>
      <c r="C18" s="8">
        <f>COUNTIFS('Defect Log'!O3:O400,"Critical",'Defect Log'!U3:U400,"&lt;&gt;CLOSED")</f>
        <v/>
      </c>
      <c r="F18" s="9" t="inlineStr">
        <is>
          <t>MUST be 0 before any release</t>
        </is>
      </c>
    </row>
    <row r="19">
      <c r="B19" s="7" t="inlineStr">
        <is>
          <t>Open Major</t>
        </is>
      </c>
      <c r="C19" s="8">
        <f>COUNTIFS('Defect Log'!O3:O400,"Major",'Defect Log'!U3:U400,"&lt;&gt;CLOSED")</f>
        <v/>
      </c>
      <c r="F19" s="9" t="inlineStr"/>
    </row>
    <row r="20">
      <c r="B20" s="7" t="inlineStr">
        <is>
          <t>Open Minor</t>
        </is>
      </c>
      <c r="C20" s="8">
        <f>COUNTIFS('Defect Log'!O3:O400,"Minor",'Defect Log'!U3:U400,"&lt;&gt;CLOSED")</f>
        <v/>
      </c>
      <c r="F20" s="9" t="inlineStr"/>
    </row>
    <row r="21">
      <c r="B21" s="7" t="inlineStr">
        <is>
          <t>Open Trivial</t>
        </is>
      </c>
      <c r="C21" s="8">
        <f>COUNTIFS('Defect Log'!O3:O400,"Trivial",'Defect Log'!U3:U400,"&lt;&gt;CLOSED")</f>
        <v/>
      </c>
      <c r="F21" s="9" t="inlineStr"/>
    </row>
    <row r="22">
      <c r="B22" s="7" t="inlineStr">
        <is>
          <t>P1 outstanding</t>
        </is>
      </c>
      <c r="C22" s="8">
        <f>COUNTIFS('Defect Log'!P3:P400,"P1 - Immediate",'Defect Log'!U3:U400,"&lt;&gt;CLOSED")</f>
        <v/>
      </c>
      <c r="F22" s="9" t="inlineStr"/>
    </row>
    <row r="23">
      <c r="B23" s="7" t="inlineStr">
        <is>
          <t>Awaiting retest</t>
        </is>
      </c>
      <c r="C23" s="8">
        <f>COUNTIF('Defect Log'!U3:U400,"READY TO RETEST")</f>
        <v/>
      </c>
      <c r="F23" s="9" t="inlineStr"/>
    </row>
    <row r="24">
      <c r="B24" s="7" t="inlineStr">
        <is>
          <t>Reopened</t>
        </is>
      </c>
      <c r="C24" s="8">
        <f>COUNTIF('Defect Log'!U3:U400,"REOPENED")</f>
        <v/>
      </c>
      <c r="F24" s="9" t="inlineStr">
        <is>
          <t>High reopen count = fixes are not verified</t>
        </is>
      </c>
    </row>
    <row r="26" ht="22" customHeight="1">
      <c r="B26" s="4" t="inlineStr">
        <is>
          <t>MODULE COVERAGE</t>
        </is>
      </c>
    </row>
    <row r="27">
      <c r="B27" s="7" t="inlineStr">
        <is>
          <t>Modules total</t>
        </is>
      </c>
      <c r="C27" s="8">
        <f>COUNTA(Modules!B3:B60)</f>
        <v/>
      </c>
      <c r="F27" s="9" t="inlineStr"/>
    </row>
    <row r="28">
      <c r="B28" s="7" t="inlineStr">
        <is>
          <t>Complete</t>
        </is>
      </c>
      <c r="C28" s="8">
        <f>COUNTIF(Modules!G3:G60,"Complete")</f>
        <v/>
      </c>
      <c r="F28" s="9" t="inlineStr"/>
    </row>
    <row r="29">
      <c r="B29" s="7" t="inlineStr">
        <is>
          <t>In progress</t>
        </is>
      </c>
      <c r="C29" s="8">
        <f>COUNTIF(Modules!G3:G60,"In progress")</f>
        <v/>
      </c>
      <c r="F29" s="9" t="inlineStr"/>
    </row>
    <row r="30">
      <c r="B30" s="7" t="inlineStr">
        <is>
          <t>Not started</t>
        </is>
      </c>
      <c r="C30" s="8">
        <f>COUNTIF(Modules!G3:G60,"Not started")</f>
        <v/>
      </c>
      <c r="F30" s="9" t="inlineStr"/>
    </row>
    <row r="31">
      <c r="B31" s="7" t="inlineStr">
        <is>
          <t>Blocked</t>
        </is>
      </c>
      <c r="C31" s="8">
        <f>COUNTIF(Modules!G3:G60,"Blocked")</f>
        <v/>
      </c>
      <c r="F31" s="9" t="inlineStr"/>
    </row>
    <row r="32">
      <c r="B32" s="7" t="inlineStr">
        <is>
          <t>Modules complete %</t>
        </is>
      </c>
      <c r="C32" s="10">
        <f>IF(C27=0,"",C28/C27)</f>
        <v/>
      </c>
      <c r="F32" s="9" t="inlineStr"/>
    </row>
    <row r="33">
      <c r="B33" s="7" t="inlineStr">
        <is>
          <t>Elements identified</t>
        </is>
      </c>
      <c r="C33" s="8">
        <f>SUM(Modules!H3:H60)</f>
        <v/>
      </c>
      <c r="F33" s="9" t="inlineStr"/>
    </row>
    <row r="34">
      <c r="B34" s="7" t="inlineStr">
        <is>
          <t>Elements tested</t>
        </is>
      </c>
      <c r="C34" s="8">
        <f>SUM(Modules!I3:I60)</f>
        <v/>
      </c>
      <c r="F34" s="9" t="inlineStr"/>
    </row>
    <row r="35">
      <c r="B35" s="7" t="inlineStr">
        <is>
          <t>Element coverage %</t>
        </is>
      </c>
      <c r="C35" s="10">
        <f>IF(C33=0,"",C34/C33)</f>
        <v/>
      </c>
      <c r="F35" s="9" t="inlineStr">
        <is>
          <t>The real 'have I clicked everything' number</t>
        </is>
      </c>
    </row>
    <row r="37" ht="22" customHeight="1">
      <c r="B37" s="4" t="inlineStr">
        <is>
          <t>EXIT CRITERIA — may we release?</t>
        </is>
      </c>
    </row>
    <row r="38">
      <c r="B38" s="7" t="inlineStr">
        <is>
          <t>No test case left Not Run</t>
        </is>
      </c>
      <c r="C38" s="11">
        <f>IF(C11=0,"MET","NOT MET")</f>
        <v/>
      </c>
    </row>
    <row r="39">
      <c r="B39" s="7" t="inlineStr">
        <is>
          <t>Zero open Critical defects</t>
        </is>
      </c>
      <c r="C39" s="11">
        <f>IF(C18=0,"MET","NOT MET")</f>
        <v/>
      </c>
    </row>
    <row r="40">
      <c r="B40" s="7" t="inlineStr">
        <is>
          <t>Zero open P1 defects</t>
        </is>
      </c>
      <c r="C40" s="11">
        <f>IF(C22=0,"MET","NOT MET")</f>
        <v/>
      </c>
    </row>
    <row r="41">
      <c r="B41" s="7" t="inlineStr">
        <is>
          <t>Pass rate at or above 95%</t>
        </is>
      </c>
      <c r="C41" s="11">
        <f>IF(N(C12)&gt;=0.95,"MET","NOT MET")</f>
        <v/>
      </c>
    </row>
    <row r="42">
      <c r="B42" s="7" t="inlineStr">
        <is>
          <t>All modules Complete or Out of scope</t>
        </is>
      </c>
      <c r="C42" s="11">
        <f>IF(C30+C29+C31=0,"MET","NOT MET")</f>
        <v/>
      </c>
    </row>
    <row r="43">
      <c r="B43" s="7" t="inlineStr">
        <is>
          <t>Every fixed defect retested</t>
        </is>
      </c>
      <c r="C43" s="11">
        <f>IF(C23=0,"MET","NOT MET")</f>
        <v/>
      </c>
    </row>
    <row r="45" ht="22" customHeight="1">
      <c r="B45" s="12" t="inlineStr">
        <is>
          <t>VERDICT:  release only when every line above says MET.  If you override it, write down who decided and why — in Test Cycles.</t>
        </is>
      </c>
    </row>
    <row r="47" ht="22" customHeight="1">
      <c r="B47" s="4" t="inlineStr">
        <is>
          <t>CHANGE REQUESTS</t>
        </is>
      </c>
    </row>
    <row r="48">
      <c r="B48" s="7" t="inlineStr">
        <is>
          <t>Total change requests</t>
        </is>
      </c>
      <c r="C48" s="8">
        <f>COUNTA('Change Requests'!A3:A250)</f>
        <v/>
      </c>
      <c r="F48" s="9" t="inlineStr"/>
    </row>
    <row r="49">
      <c r="B49" s="7" t="inlineStr">
        <is>
          <t>P1 outstanding</t>
        </is>
      </c>
      <c r="C49" s="8">
        <f>COUNTIFS('Change Requests'!M3:M250,"P1 - Immediate",'Change Requests'!O3:O250,"&lt;&gt;DONE")</f>
        <v/>
      </c>
      <c r="F49" s="9" t="inlineStr"/>
    </row>
    <row r="50">
      <c r="B50" s="7" t="inlineStr">
        <is>
          <t>Epics</t>
        </is>
      </c>
      <c r="C50" s="8">
        <f>COUNTIF('Change Requests'!E3:E250,"Epic")</f>
        <v/>
      </c>
      <c r="F50" s="9" t="inlineStr">
        <is>
          <t>Big items that must be broken down further</t>
        </is>
      </c>
    </row>
    <row r="51">
      <c r="B51" s="7" t="inlineStr">
        <is>
          <t>Research items</t>
        </is>
      </c>
      <c r="C51" s="8">
        <f>COUNTIF('Change Requests'!E3:E250,"Research")</f>
        <v/>
      </c>
      <c r="F51" s="9" t="inlineStr">
        <is>
          <t>Must be answered before their children can start</t>
        </is>
      </c>
    </row>
    <row r="52">
      <c r="B52" s="7" t="inlineStr">
        <is>
          <t>New features</t>
        </is>
      </c>
      <c r="C52" s="8">
        <f>COUNTIF('Change Requests'!E3:E250,"New feature")</f>
        <v/>
      </c>
      <c r="F52" s="9" t="inlineStr"/>
    </row>
    <row r="53">
      <c r="B53" s="7" t="inlineStr">
        <is>
          <t>Done</t>
        </is>
      </c>
      <c r="C53" s="8">
        <f>COUNTIF('Change Requests'!O3:O250,"DONE")</f>
        <v/>
      </c>
      <c r="F53" s="9" t="inlineStr"/>
    </row>
    <row r="54">
      <c r="B54" s="7" t="inlineStr">
        <is>
          <t>Completion</t>
        </is>
      </c>
      <c r="C54" s="10">
        <f>IF(C48=0,"",C53/C48)</f>
        <v/>
      </c>
      <c r="F54" s="9" t="inlineStr"/>
    </row>
  </sheetData>
  <mergeCells count="7">
    <mergeCell ref="B47:F47"/>
    <mergeCell ref="B2:F2"/>
    <mergeCell ref="B15:F15"/>
    <mergeCell ref="B5:F5"/>
    <mergeCell ref="B37:F37"/>
    <mergeCell ref="B45:F45"/>
    <mergeCell ref="B26:F26"/>
  </mergeCells>
  <conditionalFormatting sqref="C38:C43">
    <cfRule type="cellIs" priority="1" operator="equal" dxfId="0">
      <formula>"MET"</formula>
    </cfRule>
    <cfRule type="cellIs" priority="2" operator="equal" dxfId="1">
      <formula>"NOT MET"</formula>
    </cfRule>
  </conditionalFormatting>
  <pageMargins left="0.75" right="0.75" top="1" bottom="1" header="0.5" footer="0.5"/>
</worksheet>
</file>

<file path=xl/worksheets/sheet3.xml><?xml version="1.0" encoding="utf-8"?>
<worksheet xmlns="http://schemas.openxmlformats.org/spreadsheetml/2006/main">
  <sheetPr>
    <tabColor rgb="007539E4"/>
    <outlinePr summaryBelow="1" summaryRight="1"/>
    <pageSetUpPr/>
  </sheetPr>
  <dimension ref="A1:AA600"/>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1" customWidth="1" min="2" max="2"/>
    <col width="12" customWidth="1" min="3" max="3"/>
    <col width="15" customWidth="1" min="4" max="4"/>
    <col width="14" customWidth="1" min="5" max="5"/>
    <col width="17" customWidth="1" min="6" max="6"/>
    <col width="18" customWidth="1" min="7" max="7"/>
    <col width="16" customWidth="1" min="8" max="8"/>
    <col width="18" customWidth="1" min="9" max="9"/>
    <col width="22" customWidth="1" min="10" max="10"/>
    <col width="15" customWidth="1" min="11" max="11"/>
    <col width="30" customWidth="1" min="12" max="12"/>
    <col width="14" customWidth="1" min="13" max="13"/>
    <col width="34" customWidth="1" min="14" max="14"/>
    <col width="26" customWidth="1" min="15" max="15"/>
    <col width="40" customWidth="1" min="16" max="16"/>
    <col width="20" customWidth="1" min="17" max="17"/>
    <col width="38" customWidth="1" min="18" max="18"/>
    <col width="38" customWidth="1" min="19" max="19"/>
    <col width="11" customWidth="1" min="20" max="20"/>
    <col width="11" customWidth="1" min="21" max="21"/>
    <col width="15" customWidth="1" min="22" max="22"/>
    <col width="11" customWidth="1" min="23" max="23"/>
    <col width="24" customWidth="1" min="24" max="24"/>
    <col width="13" customWidth="1" min="25" max="25"/>
    <col width="11" customWidth="1" min="26" max="26"/>
    <col width="26" customWidth="1" min="27" max="27"/>
  </cols>
  <sheetData>
    <row r="1" ht="26" customHeight="1">
      <c r="A1" s="13" t="inlineStr">
        <is>
          <t>TEST LOG — one row per element tested.  Fill Expected result BEFORE you click.  Every FAIL needs a Defect ID.</t>
        </is>
      </c>
    </row>
    <row r="2" ht="42" customHeight="1">
      <c r="A2" s="14" t="inlineStr">
        <is>
          <t>Test ID</t>
        </is>
      </c>
      <c r="B2" s="14" t="inlineStr">
        <is>
          <t>Date</t>
        </is>
      </c>
      <c r="C2" s="14" t="inlineStr">
        <is>
          <t>Tester</t>
        </is>
      </c>
      <c r="D2" s="14" t="inlineStr">
        <is>
          <t>Build / Commit</t>
        </is>
      </c>
      <c r="E2" s="14" t="inlineStr">
        <is>
          <t>Environment</t>
        </is>
      </c>
      <c r="F2" s="14" t="inlineStr">
        <is>
          <t>Browser / Device</t>
        </is>
      </c>
      <c r="G2" s="14" t="inlineStr">
        <is>
          <t>Module / Feature</t>
        </is>
      </c>
      <c r="H2" s="14" t="inlineStr">
        <is>
          <t>Sub-module</t>
        </is>
      </c>
      <c r="I2" s="14" t="inlineStr">
        <is>
          <t>Screen / Page</t>
        </is>
      </c>
      <c r="J2" s="14" t="inlineStr">
        <is>
          <t>Route (URL)</t>
        </is>
      </c>
      <c r="K2" s="14" t="inlineStr">
        <is>
          <t>Element type</t>
        </is>
      </c>
      <c r="L2" s="14" t="inlineStr">
        <is>
          <t>Element name (label on screen)</t>
        </is>
      </c>
      <c r="M2" s="14" t="inlineStr">
        <is>
          <t>Role under test</t>
        </is>
      </c>
      <c r="N2" s="14" t="inlineStr">
        <is>
          <t>Test title</t>
        </is>
      </c>
      <c r="O2" s="14" t="inlineStr">
        <is>
          <t>Preconditions</t>
        </is>
      </c>
      <c r="P2" s="14" t="inlineStr">
        <is>
          <t>Test steps</t>
        </is>
      </c>
      <c r="Q2" s="14" t="inlineStr">
        <is>
          <t>Test data</t>
        </is>
      </c>
      <c r="R2" s="14" t="inlineStr">
        <is>
          <t>Expected result</t>
        </is>
      </c>
      <c r="S2" s="14" t="inlineStr">
        <is>
          <t>Actual result</t>
        </is>
      </c>
      <c r="T2" s="14" t="inlineStr">
        <is>
          <t>Status</t>
        </is>
      </c>
      <c r="U2" s="14" t="inlineStr">
        <is>
          <t>Severity</t>
        </is>
      </c>
      <c r="V2" s="14" t="inlineStr">
        <is>
          <t>Priority</t>
        </is>
      </c>
      <c r="W2" s="14" t="inlineStr">
        <is>
          <t>Defect ID</t>
        </is>
      </c>
      <c r="X2" s="14" t="inlineStr">
        <is>
          <t>Evidence (screenshot / file)</t>
        </is>
      </c>
      <c r="Y2" s="14" t="inlineStr">
        <is>
          <t>Retest</t>
        </is>
      </c>
      <c r="Z2" s="14" t="inlineStr">
        <is>
          <t>Retest date</t>
        </is>
      </c>
      <c r="AA2" s="14" t="inlineStr">
        <is>
          <t>Comments</t>
        </is>
      </c>
    </row>
    <row r="3" ht="76" customHeight="1">
      <c r="A3" s="15" t="inlineStr">
        <is>
          <t>TC-001</t>
        </is>
      </c>
      <c r="B3" s="15">
        <f>TODAY()</f>
        <v/>
      </c>
      <c r="C3" s="15" t="inlineStr">
        <is>
          <t>Othman</t>
        </is>
      </c>
      <c r="D3" s="15" t="inlineStr">
        <is>
          <t>50d4c48</t>
        </is>
      </c>
      <c r="E3" s="15" t="inlineStr">
        <is>
          <t>Local dev</t>
        </is>
      </c>
      <c r="F3" s="15" t="inlineStr">
        <is>
          <t>Desktop Chrome</t>
        </is>
      </c>
      <c r="G3" s="15" t="inlineStr">
        <is>
          <t>Authentication</t>
        </is>
      </c>
      <c r="H3" s="15" t="inlineStr">
        <is>
          <t>Login</t>
        </is>
      </c>
      <c r="I3" s="15" t="inlineStr">
        <is>
          <t>Login</t>
        </is>
      </c>
      <c r="J3" s="15" t="inlineStr">
        <is>
          <t>#/login</t>
        </is>
      </c>
      <c r="K3" s="15" t="inlineStr">
        <is>
          <t>Form submit</t>
        </is>
      </c>
      <c r="L3" s="15" t="inlineStr">
        <is>
          <t>Se connecter (submit button)</t>
        </is>
      </c>
      <c r="M3" s="15" t="inlineStr">
        <is>
          <t>not logged in</t>
        </is>
      </c>
      <c r="N3" s="15" t="inlineStr">
        <is>
          <t>Login is refused with a wrong password</t>
        </is>
      </c>
      <c r="O3" s="15" t="inlineStr">
        <is>
          <t>App is open at #/login. Demo data seeded.</t>
        </is>
      </c>
      <c r="P3" s="15" t="inlineStr">
        <is>
          <t>1. Type parent@alnour.tn in E-mail
2. Type wrongpass in Mot de passe
3. Click Se connecter</t>
        </is>
      </c>
      <c r="Q3" s="15" t="inlineStr">
        <is>
          <t>parent@alnour.tn / wrongpass</t>
        </is>
      </c>
      <c r="R3" s="15" t="inlineStr">
        <is>
          <t>Error message 'E-mail ou mot de passe incorrect.' is shown. User stays on #/login. No session created.</t>
        </is>
      </c>
      <c r="S3" s="15" t="inlineStr"/>
      <c r="T3" s="15" t="inlineStr">
        <is>
          <t>NOT RUN</t>
        </is>
      </c>
      <c r="U3" s="15" t="inlineStr"/>
      <c r="V3" s="15" t="inlineStr"/>
      <c r="W3" s="15" t="inlineStr"/>
      <c r="X3" s="15" t="inlineStr"/>
      <c r="Y3" s="15" t="inlineStr">
        <is>
          <t>Not retested</t>
        </is>
      </c>
      <c r="Z3" s="15" t="inlineStr"/>
      <c r="AA3" s="15" t="inlineStr">
        <is>
          <t>Example row — delete or overwrite</t>
        </is>
      </c>
    </row>
    <row r="4" ht="76" customHeight="1">
      <c r="A4" s="15" t="inlineStr">
        <is>
          <t>TC-002</t>
        </is>
      </c>
      <c r="B4" s="15">
        <f>TODAY()</f>
        <v/>
      </c>
      <c r="C4" s="15" t="inlineStr">
        <is>
          <t>Othman</t>
        </is>
      </c>
      <c r="D4" s="15" t="inlineStr">
        <is>
          <t>50d4c48</t>
        </is>
      </c>
      <c r="E4" s="15" t="inlineStr">
        <is>
          <t>Local dev</t>
        </is>
      </c>
      <c r="F4" s="15" t="inlineStr">
        <is>
          <t>Mobile Chrome 390px</t>
        </is>
      </c>
      <c r="G4" s="15" t="inlineStr">
        <is>
          <t>Évaluation</t>
        </is>
      </c>
      <c r="H4" s="15" t="inlineStr">
        <is>
          <t>Save step</t>
        </is>
      </c>
      <c r="I4" s="15" t="inlineStr">
        <is>
          <t>Evaluate</t>
        </is>
      </c>
      <c r="J4" s="15" t="inlineStr">
        <is>
          <t>#/app/evaluate</t>
        </is>
      </c>
      <c r="K4" s="15" t="inlineStr">
        <is>
          <t>Button</t>
        </is>
      </c>
      <c r="L4" s="15" t="inlineStr">
        <is>
          <t>Enregistrer</t>
        </is>
      </c>
      <c r="M4" s="15" t="inlineStr">
        <is>
          <t>teacher</t>
        </is>
      </c>
      <c r="N4" s="15" t="inlineStr">
        <is>
          <t>Saving with zero students placed is blocked</t>
        </is>
      </c>
      <c r="O4" s="15" t="inlineStr">
        <is>
          <t>Logged in as enseignant@alnour.tn. A slot is selected. No student dragged into any bucket.</t>
        </is>
      </c>
      <c r="P4" s="15" t="inlineStr">
        <is>
          <t>1. Open #/app/evaluate
2. Select the live slot
3. Place no student
4. Click Enregistrer</t>
        </is>
      </c>
      <c r="Q4" s="15" t="inlineStr">
        <is>
          <t>Class CP-A, no placements</t>
        </is>
      </c>
      <c r="R4" s="15" t="inlineStr">
        <is>
          <t>An error toast appears, nothing is saved, no parent notification is sent, the button stays enabled.</t>
        </is>
      </c>
      <c r="S4" s="15" t="inlineStr"/>
      <c r="T4" s="15" t="inlineStr">
        <is>
          <t>NOT RUN</t>
        </is>
      </c>
      <c r="U4" s="15" t="inlineStr"/>
      <c r="V4" s="15" t="inlineStr"/>
      <c r="W4" s="15" t="inlineStr"/>
      <c r="X4" s="15" t="inlineStr"/>
      <c r="Y4" s="15" t="inlineStr">
        <is>
          <t>Not retested</t>
        </is>
      </c>
      <c r="Z4" s="15" t="inlineStr"/>
      <c r="AA4" s="15" t="inlineStr">
        <is>
          <t>Example row — delete or overwrite</t>
        </is>
      </c>
    </row>
    <row r="5">
      <c r="A5" s="16" t="n"/>
      <c r="B5" s="16" t="n"/>
      <c r="C5" s="16" t="n"/>
      <c r="D5" s="16" t="n"/>
      <c r="E5" s="16" t="n"/>
      <c r="F5" s="16" t="n"/>
      <c r="G5" s="16" t="n"/>
      <c r="H5" s="16" t="n"/>
      <c r="I5" s="16" t="n"/>
      <c r="J5" s="16" t="n"/>
      <c r="K5" s="16" t="n"/>
      <c r="L5" s="16" t="n"/>
      <c r="M5" s="16" t="n"/>
      <c r="N5" s="16" t="n"/>
      <c r="O5" s="16" t="n"/>
      <c r="P5" s="16" t="n"/>
      <c r="Q5" s="16" t="n"/>
      <c r="R5" s="16" t="n"/>
      <c r="S5" s="16" t="n"/>
      <c r="T5" s="16" t="n"/>
      <c r="U5" s="16" t="n"/>
      <c r="V5" s="16" t="n"/>
      <c r="W5" s="16" t="n"/>
      <c r="X5" s="16" t="n"/>
      <c r="Y5" s="16" t="n"/>
      <c r="Z5" s="16" t="n"/>
      <c r="AA5" s="16" t="n"/>
    </row>
    <row r="6">
      <c r="A6" s="16" t="n"/>
      <c r="B6" s="16" t="n"/>
      <c r="C6" s="16" t="n"/>
      <c r="D6" s="16" t="n"/>
      <c r="E6" s="16" t="n"/>
      <c r="F6" s="16" t="n"/>
      <c r="G6" s="16" t="n"/>
      <c r="H6" s="16" t="n"/>
      <c r="I6" s="16" t="n"/>
      <c r="J6" s="16" t="n"/>
      <c r="K6" s="16" t="n"/>
      <c r="L6" s="16" t="n"/>
      <c r="M6" s="16" t="n"/>
      <c r="N6" s="16" t="n"/>
      <c r="O6" s="16" t="n"/>
      <c r="P6" s="16" t="n"/>
      <c r="Q6" s="16" t="n"/>
      <c r="R6" s="16" t="n"/>
      <c r="S6" s="16" t="n"/>
      <c r="T6" s="16" t="n"/>
      <c r="U6" s="16" t="n"/>
      <c r="V6" s="16" t="n"/>
      <c r="W6" s="16" t="n"/>
      <c r="X6" s="16" t="n"/>
      <c r="Y6" s="16" t="n"/>
      <c r="Z6" s="16" t="n"/>
      <c r="AA6" s="16" t="n"/>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c r="AA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c r="AA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c r="AA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c r="AA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c r="AA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c r="AA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c r="AA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c r="AA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c r="AA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c r="AA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c r="AA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c r="AA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c r="AA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c r="AA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c r="AA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c r="AA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c r="AA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c r="AA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c r="AA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c r="AA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c r="AA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c r="AA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c r="AA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c r="AA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c r="AA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c r="AA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c r="AA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c r="AA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c r="AA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c r="AA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c r="AA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c r="AA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c r="AA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c r="AA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c r="AA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c r="AA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c r="AA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c r="AA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c r="AA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c r="AA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c r="AA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c r="AA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c r="AA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c r="AA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c r="AA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c r="AA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c r="AA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c r="AA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c r="AA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c r="AA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c r="AA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c r="AA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c r="AA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c r="AA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c r="AA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c r="AA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c r="AA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c r="AA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c r="AA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c r="AA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c r="AA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c r="AA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c r="AA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c r="AA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c r="AA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c r="AA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c r="AA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c r="AA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c r="AA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c r="AA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c r="AA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c r="AA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c r="AA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c r="AA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c r="AA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c r="AA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c r="AA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c r="AA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c r="AA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c r="AA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c r="AA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c r="AA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c r="AA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c r="AA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c r="AA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c r="AA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c r="AA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c r="AA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c r="AA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c r="AA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c r="AA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c r="AA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c r="AA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c r="AA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c r="AA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c r="AA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c r="AA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c r="AA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c r="AA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c r="AA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c r="AA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c r="AA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c r="AA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c r="AA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c r="AA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c r="AA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c r="AA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c r="AA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c r="AA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c r="AA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c r="AA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c r="AA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c r="AA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c r="AA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c r="AA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c r="AA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c r="AA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c r="AA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c r="AA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c r="AA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c r="AA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c r="AA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c r="AA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c r="AA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c r="AA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c r="AA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c r="AA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c r="AA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c r="AA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c r="AA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c r="AA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c r="AA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c r="AA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c r="AA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c r="AA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c r="AA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c r="AA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c r="AA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c r="AA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c r="AA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c r="AA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c r="AA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c r="AA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c r="AA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c r="AA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c r="AA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c r="AA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c r="AA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c r="AA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c r="AA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c r="AA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c r="AA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c r="AA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c r="AA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c r="AA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c r="AA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c r="AA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c r="AA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c r="AA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c r="AA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c r="AA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c r="AA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c r="AA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c r="AA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c r="AA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c r="AA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c r="AA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c r="AA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c r="AA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c r="AA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c r="AA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c r="AA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c r="AA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c r="AA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c r="AA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c r="AA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c r="AA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c r="AA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c r="AA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c r="AA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c r="AA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c r="AA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c r="AA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c r="AA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c r="AA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c r="AA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c r="AA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c r="AA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c r="AA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c r="AA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c r="AA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c r="AA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c r="AA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c r="AA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c r="AA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c r="AA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c r="AA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c r="AA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c r="AA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c r="AA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c r="AA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c r="AA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c r="AA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c r="AA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c r="AA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c r="AA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c r="AA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c r="AA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c r="AA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c r="AA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c r="AA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c r="AA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c r="AA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c r="AA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c r="AA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c r="AA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c r="AA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c r="AA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c r="AA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c r="AA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c r="AA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c r="AA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c r="AA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c r="AA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c r="AA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c r="AA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c r="AA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c r="AA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c r="AA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c r="AA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c r="AA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c r="AA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c r="AA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c r="AA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c r="AA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c r="AA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c r="AA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c r="AA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c r="AA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c r="AA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c r="AA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c r="AA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c r="AA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c r="AA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c r="AA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c r="AA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c r="AA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c r="AA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c r="AA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c r="AA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c r="AA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c r="AA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c r="AA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c r="AA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c r="AA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c r="AA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c r="AA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c r="AA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c r="AA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c r="AA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c r="AA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c r="AA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c r="AA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c r="AA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c r="AA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c r="AA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c r="AA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c r="AA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c r="AA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c r="AA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c r="AA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c r="AA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c r="AA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c r="AA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c r="AA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c r="AA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c r="AA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c r="AA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c r="AA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c r="AA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c r="AA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c r="AA400" s="16" t="n"/>
    </row>
    <row r="401">
      <c r="A401" s="16" t="n"/>
      <c r="B401" s="16" t="n"/>
      <c r="C401" s="16" t="n"/>
      <c r="D401" s="16" t="n"/>
      <c r="E401" s="16" t="n"/>
      <c r="F401" s="16" t="n"/>
      <c r="G401" s="16" t="n"/>
      <c r="H401" s="16" t="n"/>
      <c r="I401" s="16" t="n"/>
      <c r="J401" s="16" t="n"/>
      <c r="K401" s="16" t="n"/>
      <c r="L401" s="16" t="n"/>
      <c r="M401" s="16" t="n"/>
      <c r="N401" s="16" t="n"/>
      <c r="O401" s="16" t="n"/>
      <c r="P401" s="16" t="n"/>
      <c r="Q401" s="16" t="n"/>
      <c r="R401" s="16" t="n"/>
      <c r="S401" s="16" t="n"/>
      <c r="T401" s="16" t="n"/>
      <c r="U401" s="16" t="n"/>
      <c r="V401" s="16" t="n"/>
      <c r="W401" s="16" t="n"/>
      <c r="X401" s="16" t="n"/>
      <c r="Y401" s="16" t="n"/>
      <c r="Z401" s="16" t="n"/>
      <c r="AA401" s="16" t="n"/>
    </row>
    <row r="402">
      <c r="A402" s="16" t="n"/>
      <c r="B402" s="16" t="n"/>
      <c r="C402" s="16" t="n"/>
      <c r="D402" s="16" t="n"/>
      <c r="E402" s="16" t="n"/>
      <c r="F402" s="16" t="n"/>
      <c r="G402" s="16" t="n"/>
      <c r="H402" s="16" t="n"/>
      <c r="I402" s="16" t="n"/>
      <c r="J402" s="16" t="n"/>
      <c r="K402" s="16" t="n"/>
      <c r="L402" s="16" t="n"/>
      <c r="M402" s="16" t="n"/>
      <c r="N402" s="16" t="n"/>
      <c r="O402" s="16" t="n"/>
      <c r="P402" s="16" t="n"/>
      <c r="Q402" s="16" t="n"/>
      <c r="R402" s="16" t="n"/>
      <c r="S402" s="16" t="n"/>
      <c r="T402" s="16" t="n"/>
      <c r="U402" s="16" t="n"/>
      <c r="V402" s="16" t="n"/>
      <c r="W402" s="16" t="n"/>
      <c r="X402" s="16" t="n"/>
      <c r="Y402" s="16" t="n"/>
      <c r="Z402" s="16" t="n"/>
      <c r="AA402" s="16" t="n"/>
    </row>
    <row r="403">
      <c r="A403" s="16" t="n"/>
      <c r="B403" s="16" t="n"/>
      <c r="C403" s="16" t="n"/>
      <c r="D403" s="16" t="n"/>
      <c r="E403" s="16" t="n"/>
      <c r="F403" s="16" t="n"/>
      <c r="G403" s="16" t="n"/>
      <c r="H403" s="16" t="n"/>
      <c r="I403" s="16" t="n"/>
      <c r="J403" s="16" t="n"/>
      <c r="K403" s="16" t="n"/>
      <c r="L403" s="16" t="n"/>
      <c r="M403" s="16" t="n"/>
      <c r="N403" s="16" t="n"/>
      <c r="O403" s="16" t="n"/>
      <c r="P403" s="16" t="n"/>
      <c r="Q403" s="16" t="n"/>
      <c r="R403" s="16" t="n"/>
      <c r="S403" s="16" t="n"/>
      <c r="T403" s="16" t="n"/>
      <c r="U403" s="16" t="n"/>
      <c r="V403" s="16" t="n"/>
      <c r="W403" s="16" t="n"/>
      <c r="X403" s="16" t="n"/>
      <c r="Y403" s="16" t="n"/>
      <c r="Z403" s="16" t="n"/>
      <c r="AA403" s="16" t="n"/>
    </row>
    <row r="404">
      <c r="A404" s="16" t="n"/>
      <c r="B404" s="16" t="n"/>
      <c r="C404" s="16" t="n"/>
      <c r="D404" s="16" t="n"/>
      <c r="E404" s="16" t="n"/>
      <c r="F404" s="16" t="n"/>
      <c r="G404" s="16" t="n"/>
      <c r="H404" s="16" t="n"/>
      <c r="I404" s="16" t="n"/>
      <c r="J404" s="16" t="n"/>
      <c r="K404" s="16" t="n"/>
      <c r="L404" s="16" t="n"/>
      <c r="M404" s="16" t="n"/>
      <c r="N404" s="16" t="n"/>
      <c r="O404" s="16" t="n"/>
      <c r="P404" s="16" t="n"/>
      <c r="Q404" s="16" t="n"/>
      <c r="R404" s="16" t="n"/>
      <c r="S404" s="16" t="n"/>
      <c r="T404" s="16" t="n"/>
      <c r="U404" s="16" t="n"/>
      <c r="V404" s="16" t="n"/>
      <c r="W404" s="16" t="n"/>
      <c r="X404" s="16" t="n"/>
      <c r="Y404" s="16" t="n"/>
      <c r="Z404" s="16" t="n"/>
      <c r="AA404" s="16" t="n"/>
    </row>
    <row r="405">
      <c r="A405" s="16" t="n"/>
      <c r="B405" s="16" t="n"/>
      <c r="C405" s="16" t="n"/>
      <c r="D405" s="16" t="n"/>
      <c r="E405" s="16" t="n"/>
      <c r="F405" s="16" t="n"/>
      <c r="G405" s="16" t="n"/>
      <c r="H405" s="16" t="n"/>
      <c r="I405" s="16" t="n"/>
      <c r="J405" s="16" t="n"/>
      <c r="K405" s="16" t="n"/>
      <c r="L405" s="16" t="n"/>
      <c r="M405" s="16" t="n"/>
      <c r="N405" s="16" t="n"/>
      <c r="O405" s="16" t="n"/>
      <c r="P405" s="16" t="n"/>
      <c r="Q405" s="16" t="n"/>
      <c r="R405" s="16" t="n"/>
      <c r="S405" s="16" t="n"/>
      <c r="T405" s="16" t="n"/>
      <c r="U405" s="16" t="n"/>
      <c r="V405" s="16" t="n"/>
      <c r="W405" s="16" t="n"/>
      <c r="X405" s="16" t="n"/>
      <c r="Y405" s="16" t="n"/>
      <c r="Z405" s="16" t="n"/>
      <c r="AA405" s="16" t="n"/>
    </row>
    <row r="406">
      <c r="A406" s="16" t="n"/>
      <c r="B406" s="16" t="n"/>
      <c r="C406" s="16" t="n"/>
      <c r="D406" s="16" t="n"/>
      <c r="E406" s="16" t="n"/>
      <c r="F406" s="16" t="n"/>
      <c r="G406" s="16" t="n"/>
      <c r="H406" s="16" t="n"/>
      <c r="I406" s="16" t="n"/>
      <c r="J406" s="16" t="n"/>
      <c r="K406" s="16" t="n"/>
      <c r="L406" s="16" t="n"/>
      <c r="M406" s="16" t="n"/>
      <c r="N406" s="16" t="n"/>
      <c r="O406" s="16" t="n"/>
      <c r="P406" s="16" t="n"/>
      <c r="Q406" s="16" t="n"/>
      <c r="R406" s="16" t="n"/>
      <c r="S406" s="16" t="n"/>
      <c r="T406" s="16" t="n"/>
      <c r="U406" s="16" t="n"/>
      <c r="V406" s="16" t="n"/>
      <c r="W406" s="16" t="n"/>
      <c r="X406" s="16" t="n"/>
      <c r="Y406" s="16" t="n"/>
      <c r="Z406" s="16" t="n"/>
      <c r="AA406" s="16" t="n"/>
    </row>
    <row r="407">
      <c r="A407" s="16" t="n"/>
      <c r="B407" s="16" t="n"/>
      <c r="C407" s="16" t="n"/>
      <c r="D407" s="16" t="n"/>
      <c r="E407" s="16" t="n"/>
      <c r="F407" s="16" t="n"/>
      <c r="G407" s="16" t="n"/>
      <c r="H407" s="16" t="n"/>
      <c r="I407" s="16" t="n"/>
      <c r="J407" s="16" t="n"/>
      <c r="K407" s="16" t="n"/>
      <c r="L407" s="16" t="n"/>
      <c r="M407" s="16" t="n"/>
      <c r="N407" s="16" t="n"/>
      <c r="O407" s="16" t="n"/>
      <c r="P407" s="16" t="n"/>
      <c r="Q407" s="16" t="n"/>
      <c r="R407" s="16" t="n"/>
      <c r="S407" s="16" t="n"/>
      <c r="T407" s="16" t="n"/>
      <c r="U407" s="16" t="n"/>
      <c r="V407" s="16" t="n"/>
      <c r="W407" s="16" t="n"/>
      <c r="X407" s="16" t="n"/>
      <c r="Y407" s="16" t="n"/>
      <c r="Z407" s="16" t="n"/>
      <c r="AA407" s="16" t="n"/>
    </row>
    <row r="408">
      <c r="A408" s="16" t="n"/>
      <c r="B408" s="16" t="n"/>
      <c r="C408" s="16" t="n"/>
      <c r="D408" s="16" t="n"/>
      <c r="E408" s="16" t="n"/>
      <c r="F408" s="16" t="n"/>
      <c r="G408" s="16" t="n"/>
      <c r="H408" s="16" t="n"/>
      <c r="I408" s="16" t="n"/>
      <c r="J408" s="16" t="n"/>
      <c r="K408" s="16" t="n"/>
      <c r="L408" s="16" t="n"/>
      <c r="M408" s="16" t="n"/>
      <c r="N408" s="16" t="n"/>
      <c r="O408" s="16" t="n"/>
      <c r="P408" s="16" t="n"/>
      <c r="Q408" s="16" t="n"/>
      <c r="R408" s="16" t="n"/>
      <c r="S408" s="16" t="n"/>
      <c r="T408" s="16" t="n"/>
      <c r="U408" s="16" t="n"/>
      <c r="V408" s="16" t="n"/>
      <c r="W408" s="16" t="n"/>
      <c r="X408" s="16" t="n"/>
      <c r="Y408" s="16" t="n"/>
      <c r="Z408" s="16" t="n"/>
      <c r="AA408" s="16" t="n"/>
    </row>
    <row r="409">
      <c r="A409" s="16" t="n"/>
      <c r="B409" s="16" t="n"/>
      <c r="C409" s="16" t="n"/>
      <c r="D409" s="16" t="n"/>
      <c r="E409" s="16" t="n"/>
      <c r="F409" s="16" t="n"/>
      <c r="G409" s="16" t="n"/>
      <c r="H409" s="16" t="n"/>
      <c r="I409" s="16" t="n"/>
      <c r="J409" s="16" t="n"/>
      <c r="K409" s="16" t="n"/>
      <c r="L409" s="16" t="n"/>
      <c r="M409" s="16" t="n"/>
      <c r="N409" s="16" t="n"/>
      <c r="O409" s="16" t="n"/>
      <c r="P409" s="16" t="n"/>
      <c r="Q409" s="16" t="n"/>
      <c r="R409" s="16" t="n"/>
      <c r="S409" s="16" t="n"/>
      <c r="T409" s="16" t="n"/>
      <c r="U409" s="16" t="n"/>
      <c r="V409" s="16" t="n"/>
      <c r="W409" s="16" t="n"/>
      <c r="X409" s="16" t="n"/>
      <c r="Y409" s="16" t="n"/>
      <c r="Z409" s="16" t="n"/>
      <c r="AA409" s="16" t="n"/>
    </row>
    <row r="410">
      <c r="A410" s="16" t="n"/>
      <c r="B410" s="16" t="n"/>
      <c r="C410" s="16" t="n"/>
      <c r="D410" s="16" t="n"/>
      <c r="E410" s="16" t="n"/>
      <c r="F410" s="16" t="n"/>
      <c r="G410" s="16" t="n"/>
      <c r="H410" s="16" t="n"/>
      <c r="I410" s="16" t="n"/>
      <c r="J410" s="16" t="n"/>
      <c r="K410" s="16" t="n"/>
      <c r="L410" s="16" t="n"/>
      <c r="M410" s="16" t="n"/>
      <c r="N410" s="16" t="n"/>
      <c r="O410" s="16" t="n"/>
      <c r="P410" s="16" t="n"/>
      <c r="Q410" s="16" t="n"/>
      <c r="R410" s="16" t="n"/>
      <c r="S410" s="16" t="n"/>
      <c r="T410" s="16" t="n"/>
      <c r="U410" s="16" t="n"/>
      <c r="V410" s="16" t="n"/>
      <c r="W410" s="16" t="n"/>
      <c r="X410" s="16" t="n"/>
      <c r="Y410" s="16" t="n"/>
      <c r="Z410" s="16" t="n"/>
      <c r="AA410" s="16" t="n"/>
    </row>
    <row r="411">
      <c r="A411" s="16" t="n"/>
      <c r="B411" s="16" t="n"/>
      <c r="C411" s="16" t="n"/>
      <c r="D411" s="16" t="n"/>
      <c r="E411" s="16" t="n"/>
      <c r="F411" s="16" t="n"/>
      <c r="G411" s="16" t="n"/>
      <c r="H411" s="16" t="n"/>
      <c r="I411" s="16" t="n"/>
      <c r="J411" s="16" t="n"/>
      <c r="K411" s="16" t="n"/>
      <c r="L411" s="16" t="n"/>
      <c r="M411" s="16" t="n"/>
      <c r="N411" s="16" t="n"/>
      <c r="O411" s="16" t="n"/>
      <c r="P411" s="16" t="n"/>
      <c r="Q411" s="16" t="n"/>
      <c r="R411" s="16" t="n"/>
      <c r="S411" s="16" t="n"/>
      <c r="T411" s="16" t="n"/>
      <c r="U411" s="16" t="n"/>
      <c r="V411" s="16" t="n"/>
      <c r="W411" s="16" t="n"/>
      <c r="X411" s="16" t="n"/>
      <c r="Y411" s="16" t="n"/>
      <c r="Z411" s="16" t="n"/>
      <c r="AA411" s="16" t="n"/>
    </row>
    <row r="412">
      <c r="A412" s="16" t="n"/>
      <c r="B412" s="16" t="n"/>
      <c r="C412" s="16" t="n"/>
      <c r="D412" s="16" t="n"/>
      <c r="E412" s="16" t="n"/>
      <c r="F412" s="16" t="n"/>
      <c r="G412" s="16" t="n"/>
      <c r="H412" s="16" t="n"/>
      <c r="I412" s="16" t="n"/>
      <c r="J412" s="16" t="n"/>
      <c r="K412" s="16" t="n"/>
      <c r="L412" s="16" t="n"/>
      <c r="M412" s="16" t="n"/>
      <c r="N412" s="16" t="n"/>
      <c r="O412" s="16" t="n"/>
      <c r="P412" s="16" t="n"/>
      <c r="Q412" s="16" t="n"/>
      <c r="R412" s="16" t="n"/>
      <c r="S412" s="16" t="n"/>
      <c r="T412" s="16" t="n"/>
      <c r="U412" s="16" t="n"/>
      <c r="V412" s="16" t="n"/>
      <c r="W412" s="16" t="n"/>
      <c r="X412" s="16" t="n"/>
      <c r="Y412" s="16" t="n"/>
      <c r="Z412" s="16" t="n"/>
      <c r="AA412" s="16" t="n"/>
    </row>
    <row r="413">
      <c r="A413" s="16" t="n"/>
      <c r="B413" s="16" t="n"/>
      <c r="C413" s="16" t="n"/>
      <c r="D413" s="16" t="n"/>
      <c r="E413" s="16" t="n"/>
      <c r="F413" s="16" t="n"/>
      <c r="G413" s="16" t="n"/>
      <c r="H413" s="16" t="n"/>
      <c r="I413" s="16" t="n"/>
      <c r="J413" s="16" t="n"/>
      <c r="K413" s="16" t="n"/>
      <c r="L413" s="16" t="n"/>
      <c r="M413" s="16" t="n"/>
      <c r="N413" s="16" t="n"/>
      <c r="O413" s="16" t="n"/>
      <c r="P413" s="16" t="n"/>
      <c r="Q413" s="16" t="n"/>
      <c r="R413" s="16" t="n"/>
      <c r="S413" s="16" t="n"/>
      <c r="T413" s="16" t="n"/>
      <c r="U413" s="16" t="n"/>
      <c r="V413" s="16" t="n"/>
      <c r="W413" s="16" t="n"/>
      <c r="X413" s="16" t="n"/>
      <c r="Y413" s="16" t="n"/>
      <c r="Z413" s="16" t="n"/>
      <c r="AA413" s="16" t="n"/>
    </row>
    <row r="414">
      <c r="A414" s="16" t="n"/>
      <c r="B414" s="16" t="n"/>
      <c r="C414" s="16" t="n"/>
      <c r="D414" s="16" t="n"/>
      <c r="E414" s="16" t="n"/>
      <c r="F414" s="16" t="n"/>
      <c r="G414" s="16" t="n"/>
      <c r="H414" s="16" t="n"/>
      <c r="I414" s="16" t="n"/>
      <c r="J414" s="16" t="n"/>
      <c r="K414" s="16" t="n"/>
      <c r="L414" s="16" t="n"/>
      <c r="M414" s="16" t="n"/>
      <c r="N414" s="16" t="n"/>
      <c r="O414" s="16" t="n"/>
      <c r="P414" s="16" t="n"/>
      <c r="Q414" s="16" t="n"/>
      <c r="R414" s="16" t="n"/>
      <c r="S414" s="16" t="n"/>
      <c r="T414" s="16" t="n"/>
      <c r="U414" s="16" t="n"/>
      <c r="V414" s="16" t="n"/>
      <c r="W414" s="16" t="n"/>
      <c r="X414" s="16" t="n"/>
      <c r="Y414" s="16" t="n"/>
      <c r="Z414" s="16" t="n"/>
      <c r="AA414" s="16" t="n"/>
    </row>
    <row r="415">
      <c r="A415" s="16" t="n"/>
      <c r="B415" s="16" t="n"/>
      <c r="C415" s="16" t="n"/>
      <c r="D415" s="16" t="n"/>
      <c r="E415" s="16" t="n"/>
      <c r="F415" s="16" t="n"/>
      <c r="G415" s="16" t="n"/>
      <c r="H415" s="16" t="n"/>
      <c r="I415" s="16" t="n"/>
      <c r="J415" s="16" t="n"/>
      <c r="K415" s="16" t="n"/>
      <c r="L415" s="16" t="n"/>
      <c r="M415" s="16" t="n"/>
      <c r="N415" s="16" t="n"/>
      <c r="O415" s="16" t="n"/>
      <c r="P415" s="16" t="n"/>
      <c r="Q415" s="16" t="n"/>
      <c r="R415" s="16" t="n"/>
      <c r="S415" s="16" t="n"/>
      <c r="T415" s="16" t="n"/>
      <c r="U415" s="16" t="n"/>
      <c r="V415" s="16" t="n"/>
      <c r="W415" s="16" t="n"/>
      <c r="X415" s="16" t="n"/>
      <c r="Y415" s="16" t="n"/>
      <c r="Z415" s="16" t="n"/>
      <c r="AA415" s="16" t="n"/>
    </row>
    <row r="416">
      <c r="A416" s="16" t="n"/>
      <c r="B416" s="16" t="n"/>
      <c r="C416" s="16" t="n"/>
      <c r="D416" s="16" t="n"/>
      <c r="E416" s="16" t="n"/>
      <c r="F416" s="16" t="n"/>
      <c r="G416" s="16" t="n"/>
      <c r="H416" s="16" t="n"/>
      <c r="I416" s="16" t="n"/>
      <c r="J416" s="16" t="n"/>
      <c r="K416" s="16" t="n"/>
      <c r="L416" s="16" t="n"/>
      <c r="M416" s="16" t="n"/>
      <c r="N416" s="16" t="n"/>
      <c r="O416" s="16" t="n"/>
      <c r="P416" s="16" t="n"/>
      <c r="Q416" s="16" t="n"/>
      <c r="R416" s="16" t="n"/>
      <c r="S416" s="16" t="n"/>
      <c r="T416" s="16" t="n"/>
      <c r="U416" s="16" t="n"/>
      <c r="V416" s="16" t="n"/>
      <c r="W416" s="16" t="n"/>
      <c r="X416" s="16" t="n"/>
      <c r="Y416" s="16" t="n"/>
      <c r="Z416" s="16" t="n"/>
      <c r="AA416" s="16" t="n"/>
    </row>
    <row r="417">
      <c r="A417" s="16" t="n"/>
      <c r="B417" s="16" t="n"/>
      <c r="C417" s="16" t="n"/>
      <c r="D417" s="16" t="n"/>
      <c r="E417" s="16" t="n"/>
      <c r="F417" s="16" t="n"/>
      <c r="G417" s="16" t="n"/>
      <c r="H417" s="16" t="n"/>
      <c r="I417" s="16" t="n"/>
      <c r="J417" s="16" t="n"/>
      <c r="K417" s="16" t="n"/>
      <c r="L417" s="16" t="n"/>
      <c r="M417" s="16" t="n"/>
      <c r="N417" s="16" t="n"/>
      <c r="O417" s="16" t="n"/>
      <c r="P417" s="16" t="n"/>
      <c r="Q417" s="16" t="n"/>
      <c r="R417" s="16" t="n"/>
      <c r="S417" s="16" t="n"/>
      <c r="T417" s="16" t="n"/>
      <c r="U417" s="16" t="n"/>
      <c r="V417" s="16" t="n"/>
      <c r="W417" s="16" t="n"/>
      <c r="X417" s="16" t="n"/>
      <c r="Y417" s="16" t="n"/>
      <c r="Z417" s="16" t="n"/>
      <c r="AA417" s="16" t="n"/>
    </row>
    <row r="418">
      <c r="A418" s="16" t="n"/>
      <c r="B418" s="16" t="n"/>
      <c r="C418" s="16" t="n"/>
      <c r="D418" s="16" t="n"/>
      <c r="E418" s="16" t="n"/>
      <c r="F418" s="16" t="n"/>
      <c r="G418" s="16" t="n"/>
      <c r="H418" s="16" t="n"/>
      <c r="I418" s="16" t="n"/>
      <c r="J418" s="16" t="n"/>
      <c r="K418" s="16" t="n"/>
      <c r="L418" s="16" t="n"/>
      <c r="M418" s="16" t="n"/>
      <c r="N418" s="16" t="n"/>
      <c r="O418" s="16" t="n"/>
      <c r="P418" s="16" t="n"/>
      <c r="Q418" s="16" t="n"/>
      <c r="R418" s="16" t="n"/>
      <c r="S418" s="16" t="n"/>
      <c r="T418" s="16" t="n"/>
      <c r="U418" s="16" t="n"/>
      <c r="V418" s="16" t="n"/>
      <c r="W418" s="16" t="n"/>
      <c r="X418" s="16" t="n"/>
      <c r="Y418" s="16" t="n"/>
      <c r="Z418" s="16" t="n"/>
      <c r="AA418" s="16" t="n"/>
    </row>
    <row r="419">
      <c r="A419" s="16" t="n"/>
      <c r="B419" s="16" t="n"/>
      <c r="C419" s="16" t="n"/>
      <c r="D419" s="16" t="n"/>
      <c r="E419" s="16" t="n"/>
      <c r="F419" s="16" t="n"/>
      <c r="G419" s="16" t="n"/>
      <c r="H419" s="16" t="n"/>
      <c r="I419" s="16" t="n"/>
      <c r="J419" s="16" t="n"/>
      <c r="K419" s="16" t="n"/>
      <c r="L419" s="16" t="n"/>
      <c r="M419" s="16" t="n"/>
      <c r="N419" s="16" t="n"/>
      <c r="O419" s="16" t="n"/>
      <c r="P419" s="16" t="n"/>
      <c r="Q419" s="16" t="n"/>
      <c r="R419" s="16" t="n"/>
      <c r="S419" s="16" t="n"/>
      <c r="T419" s="16" t="n"/>
      <c r="U419" s="16" t="n"/>
      <c r="V419" s="16" t="n"/>
      <c r="W419" s="16" t="n"/>
      <c r="X419" s="16" t="n"/>
      <c r="Y419" s="16" t="n"/>
      <c r="Z419" s="16" t="n"/>
      <c r="AA419" s="16" t="n"/>
    </row>
    <row r="420">
      <c r="A420" s="16" t="n"/>
      <c r="B420" s="16" t="n"/>
      <c r="C420" s="16" t="n"/>
      <c r="D420" s="16" t="n"/>
      <c r="E420" s="16" t="n"/>
      <c r="F420" s="16" t="n"/>
      <c r="G420" s="16" t="n"/>
      <c r="H420" s="16" t="n"/>
      <c r="I420" s="16" t="n"/>
      <c r="J420" s="16" t="n"/>
      <c r="K420" s="16" t="n"/>
      <c r="L420" s="16" t="n"/>
      <c r="M420" s="16" t="n"/>
      <c r="N420" s="16" t="n"/>
      <c r="O420" s="16" t="n"/>
      <c r="P420" s="16" t="n"/>
      <c r="Q420" s="16" t="n"/>
      <c r="R420" s="16" t="n"/>
      <c r="S420" s="16" t="n"/>
      <c r="T420" s="16" t="n"/>
      <c r="U420" s="16" t="n"/>
      <c r="V420" s="16" t="n"/>
      <c r="W420" s="16" t="n"/>
      <c r="X420" s="16" t="n"/>
      <c r="Y420" s="16" t="n"/>
      <c r="Z420" s="16" t="n"/>
      <c r="AA420" s="16" t="n"/>
    </row>
    <row r="421">
      <c r="A421" s="16" t="n"/>
      <c r="B421" s="16" t="n"/>
      <c r="C421" s="16" t="n"/>
      <c r="D421" s="16" t="n"/>
      <c r="E421" s="16" t="n"/>
      <c r="F421" s="16" t="n"/>
      <c r="G421" s="16" t="n"/>
      <c r="H421" s="16" t="n"/>
      <c r="I421" s="16" t="n"/>
      <c r="J421" s="16" t="n"/>
      <c r="K421" s="16" t="n"/>
      <c r="L421" s="16" t="n"/>
      <c r="M421" s="16" t="n"/>
      <c r="N421" s="16" t="n"/>
      <c r="O421" s="16" t="n"/>
      <c r="P421" s="16" t="n"/>
      <c r="Q421" s="16" t="n"/>
      <c r="R421" s="16" t="n"/>
      <c r="S421" s="16" t="n"/>
      <c r="T421" s="16" t="n"/>
      <c r="U421" s="16" t="n"/>
      <c r="V421" s="16" t="n"/>
      <c r="W421" s="16" t="n"/>
      <c r="X421" s="16" t="n"/>
      <c r="Y421" s="16" t="n"/>
      <c r="Z421" s="16" t="n"/>
      <c r="AA421" s="16" t="n"/>
    </row>
    <row r="422">
      <c r="A422" s="16" t="n"/>
      <c r="B422" s="16" t="n"/>
      <c r="C422" s="16" t="n"/>
      <c r="D422" s="16" t="n"/>
      <c r="E422" s="16" t="n"/>
      <c r="F422" s="16" t="n"/>
      <c r="G422" s="16" t="n"/>
      <c r="H422" s="16" t="n"/>
      <c r="I422" s="16" t="n"/>
      <c r="J422" s="16" t="n"/>
      <c r="K422" s="16" t="n"/>
      <c r="L422" s="16" t="n"/>
      <c r="M422" s="16" t="n"/>
      <c r="N422" s="16" t="n"/>
      <c r="O422" s="16" t="n"/>
      <c r="P422" s="16" t="n"/>
      <c r="Q422" s="16" t="n"/>
      <c r="R422" s="16" t="n"/>
      <c r="S422" s="16" t="n"/>
      <c r="T422" s="16" t="n"/>
      <c r="U422" s="16" t="n"/>
      <c r="V422" s="16" t="n"/>
      <c r="W422" s="16" t="n"/>
      <c r="X422" s="16" t="n"/>
      <c r="Y422" s="16" t="n"/>
      <c r="Z422" s="16" t="n"/>
      <c r="AA422" s="16" t="n"/>
    </row>
    <row r="423">
      <c r="A423" s="16" t="n"/>
      <c r="B423" s="16" t="n"/>
      <c r="C423" s="16" t="n"/>
      <c r="D423" s="16" t="n"/>
      <c r="E423" s="16" t="n"/>
      <c r="F423" s="16" t="n"/>
      <c r="G423" s="16" t="n"/>
      <c r="H423" s="16" t="n"/>
      <c r="I423" s="16" t="n"/>
      <c r="J423" s="16" t="n"/>
      <c r="K423" s="16" t="n"/>
      <c r="L423" s="16" t="n"/>
      <c r="M423" s="16" t="n"/>
      <c r="N423" s="16" t="n"/>
      <c r="O423" s="16" t="n"/>
      <c r="P423" s="16" t="n"/>
      <c r="Q423" s="16" t="n"/>
      <c r="R423" s="16" t="n"/>
      <c r="S423" s="16" t="n"/>
      <c r="T423" s="16" t="n"/>
      <c r="U423" s="16" t="n"/>
      <c r="V423" s="16" t="n"/>
      <c r="W423" s="16" t="n"/>
      <c r="X423" s="16" t="n"/>
      <c r="Y423" s="16" t="n"/>
      <c r="Z423" s="16" t="n"/>
      <c r="AA423" s="16" t="n"/>
    </row>
    <row r="424">
      <c r="A424" s="16" t="n"/>
      <c r="B424" s="16" t="n"/>
      <c r="C424" s="16" t="n"/>
      <c r="D424" s="16" t="n"/>
      <c r="E424" s="16" t="n"/>
      <c r="F424" s="16" t="n"/>
      <c r="G424" s="16" t="n"/>
      <c r="H424" s="16" t="n"/>
      <c r="I424" s="16" t="n"/>
      <c r="J424" s="16" t="n"/>
      <c r="K424" s="16" t="n"/>
      <c r="L424" s="16" t="n"/>
      <c r="M424" s="16" t="n"/>
      <c r="N424" s="16" t="n"/>
      <c r="O424" s="16" t="n"/>
      <c r="P424" s="16" t="n"/>
      <c r="Q424" s="16" t="n"/>
      <c r="R424" s="16" t="n"/>
      <c r="S424" s="16" t="n"/>
      <c r="T424" s="16" t="n"/>
      <c r="U424" s="16" t="n"/>
      <c r="V424" s="16" t="n"/>
      <c r="W424" s="16" t="n"/>
      <c r="X424" s="16" t="n"/>
      <c r="Y424" s="16" t="n"/>
      <c r="Z424" s="16" t="n"/>
      <c r="AA424" s="16" t="n"/>
    </row>
    <row r="425">
      <c r="A425" s="16" t="n"/>
      <c r="B425" s="16" t="n"/>
      <c r="C425" s="16" t="n"/>
      <c r="D425" s="16" t="n"/>
      <c r="E425" s="16" t="n"/>
      <c r="F425" s="16" t="n"/>
      <c r="G425" s="16" t="n"/>
      <c r="H425" s="16" t="n"/>
      <c r="I425" s="16" t="n"/>
      <c r="J425" s="16" t="n"/>
      <c r="K425" s="16" t="n"/>
      <c r="L425" s="16" t="n"/>
      <c r="M425" s="16" t="n"/>
      <c r="N425" s="16" t="n"/>
      <c r="O425" s="16" t="n"/>
      <c r="P425" s="16" t="n"/>
      <c r="Q425" s="16" t="n"/>
      <c r="R425" s="16" t="n"/>
      <c r="S425" s="16" t="n"/>
      <c r="T425" s="16" t="n"/>
      <c r="U425" s="16" t="n"/>
      <c r="V425" s="16" t="n"/>
      <c r="W425" s="16" t="n"/>
      <c r="X425" s="16" t="n"/>
      <c r="Y425" s="16" t="n"/>
      <c r="Z425" s="16" t="n"/>
      <c r="AA425" s="16" t="n"/>
    </row>
    <row r="426">
      <c r="A426" s="16" t="n"/>
      <c r="B426" s="16" t="n"/>
      <c r="C426" s="16" t="n"/>
      <c r="D426" s="16" t="n"/>
      <c r="E426" s="16" t="n"/>
      <c r="F426" s="16" t="n"/>
      <c r="G426" s="16" t="n"/>
      <c r="H426" s="16" t="n"/>
      <c r="I426" s="16" t="n"/>
      <c r="J426" s="16" t="n"/>
      <c r="K426" s="16" t="n"/>
      <c r="L426" s="16" t="n"/>
      <c r="M426" s="16" t="n"/>
      <c r="N426" s="16" t="n"/>
      <c r="O426" s="16" t="n"/>
      <c r="P426" s="16" t="n"/>
      <c r="Q426" s="16" t="n"/>
      <c r="R426" s="16" t="n"/>
      <c r="S426" s="16" t="n"/>
      <c r="T426" s="16" t="n"/>
      <c r="U426" s="16" t="n"/>
      <c r="V426" s="16" t="n"/>
      <c r="W426" s="16" t="n"/>
      <c r="X426" s="16" t="n"/>
      <c r="Y426" s="16" t="n"/>
      <c r="Z426" s="16" t="n"/>
      <c r="AA426" s="16" t="n"/>
    </row>
    <row r="427">
      <c r="A427" s="16" t="n"/>
      <c r="B427" s="16" t="n"/>
      <c r="C427" s="16" t="n"/>
      <c r="D427" s="16" t="n"/>
      <c r="E427" s="16" t="n"/>
      <c r="F427" s="16" t="n"/>
      <c r="G427" s="16" t="n"/>
      <c r="H427" s="16" t="n"/>
      <c r="I427" s="16" t="n"/>
      <c r="J427" s="16" t="n"/>
      <c r="K427" s="16" t="n"/>
      <c r="L427" s="16" t="n"/>
      <c r="M427" s="16" t="n"/>
      <c r="N427" s="16" t="n"/>
      <c r="O427" s="16" t="n"/>
      <c r="P427" s="16" t="n"/>
      <c r="Q427" s="16" t="n"/>
      <c r="R427" s="16" t="n"/>
      <c r="S427" s="16" t="n"/>
      <c r="T427" s="16" t="n"/>
      <c r="U427" s="16" t="n"/>
      <c r="V427" s="16" t="n"/>
      <c r="W427" s="16" t="n"/>
      <c r="X427" s="16" t="n"/>
      <c r="Y427" s="16" t="n"/>
      <c r="Z427" s="16" t="n"/>
      <c r="AA427" s="16" t="n"/>
    </row>
    <row r="428">
      <c r="A428" s="16" t="n"/>
      <c r="B428" s="16" t="n"/>
      <c r="C428" s="16" t="n"/>
      <c r="D428" s="16" t="n"/>
      <c r="E428" s="16" t="n"/>
      <c r="F428" s="16" t="n"/>
      <c r="G428" s="16" t="n"/>
      <c r="H428" s="16" t="n"/>
      <c r="I428" s="16" t="n"/>
      <c r="J428" s="16" t="n"/>
      <c r="K428" s="16" t="n"/>
      <c r="L428" s="16" t="n"/>
      <c r="M428" s="16" t="n"/>
      <c r="N428" s="16" t="n"/>
      <c r="O428" s="16" t="n"/>
      <c r="P428" s="16" t="n"/>
      <c r="Q428" s="16" t="n"/>
      <c r="R428" s="16" t="n"/>
      <c r="S428" s="16" t="n"/>
      <c r="T428" s="16" t="n"/>
      <c r="U428" s="16" t="n"/>
      <c r="V428" s="16" t="n"/>
      <c r="W428" s="16" t="n"/>
      <c r="X428" s="16" t="n"/>
      <c r="Y428" s="16" t="n"/>
      <c r="Z428" s="16" t="n"/>
      <c r="AA428" s="16" t="n"/>
    </row>
    <row r="429">
      <c r="A429" s="16" t="n"/>
      <c r="B429" s="16" t="n"/>
      <c r="C429" s="16" t="n"/>
      <c r="D429" s="16" t="n"/>
      <c r="E429" s="16" t="n"/>
      <c r="F429" s="16" t="n"/>
      <c r="G429" s="16" t="n"/>
      <c r="H429" s="16" t="n"/>
      <c r="I429" s="16" t="n"/>
      <c r="J429" s="16" t="n"/>
      <c r="K429" s="16" t="n"/>
      <c r="L429" s="16" t="n"/>
      <c r="M429" s="16" t="n"/>
      <c r="N429" s="16" t="n"/>
      <c r="O429" s="16" t="n"/>
      <c r="P429" s="16" t="n"/>
      <c r="Q429" s="16" t="n"/>
      <c r="R429" s="16" t="n"/>
      <c r="S429" s="16" t="n"/>
      <c r="T429" s="16" t="n"/>
      <c r="U429" s="16" t="n"/>
      <c r="V429" s="16" t="n"/>
      <c r="W429" s="16" t="n"/>
      <c r="X429" s="16" t="n"/>
      <c r="Y429" s="16" t="n"/>
      <c r="Z429" s="16" t="n"/>
      <c r="AA429" s="16" t="n"/>
    </row>
    <row r="430">
      <c r="A430" s="16" t="n"/>
      <c r="B430" s="16" t="n"/>
      <c r="C430" s="16" t="n"/>
      <c r="D430" s="16" t="n"/>
      <c r="E430" s="16" t="n"/>
      <c r="F430" s="16" t="n"/>
      <c r="G430" s="16" t="n"/>
      <c r="H430" s="16" t="n"/>
      <c r="I430" s="16" t="n"/>
      <c r="J430" s="16" t="n"/>
      <c r="K430" s="16" t="n"/>
      <c r="L430" s="16" t="n"/>
      <c r="M430" s="16" t="n"/>
      <c r="N430" s="16" t="n"/>
      <c r="O430" s="16" t="n"/>
      <c r="P430" s="16" t="n"/>
      <c r="Q430" s="16" t="n"/>
      <c r="R430" s="16" t="n"/>
      <c r="S430" s="16" t="n"/>
      <c r="T430" s="16" t="n"/>
      <c r="U430" s="16" t="n"/>
      <c r="V430" s="16" t="n"/>
      <c r="W430" s="16" t="n"/>
      <c r="X430" s="16" t="n"/>
      <c r="Y430" s="16" t="n"/>
      <c r="Z430" s="16" t="n"/>
      <c r="AA430" s="16" t="n"/>
    </row>
    <row r="431">
      <c r="A431" s="16" t="n"/>
      <c r="B431" s="16" t="n"/>
      <c r="C431" s="16" t="n"/>
      <c r="D431" s="16" t="n"/>
      <c r="E431" s="16" t="n"/>
      <c r="F431" s="16" t="n"/>
      <c r="G431" s="16" t="n"/>
      <c r="H431" s="16" t="n"/>
      <c r="I431" s="16" t="n"/>
      <c r="J431" s="16" t="n"/>
      <c r="K431" s="16" t="n"/>
      <c r="L431" s="16" t="n"/>
      <c r="M431" s="16" t="n"/>
      <c r="N431" s="16" t="n"/>
      <c r="O431" s="16" t="n"/>
      <c r="P431" s="16" t="n"/>
      <c r="Q431" s="16" t="n"/>
      <c r="R431" s="16" t="n"/>
      <c r="S431" s="16" t="n"/>
      <c r="T431" s="16" t="n"/>
      <c r="U431" s="16" t="n"/>
      <c r="V431" s="16" t="n"/>
      <c r="W431" s="16" t="n"/>
      <c r="X431" s="16" t="n"/>
      <c r="Y431" s="16" t="n"/>
      <c r="Z431" s="16" t="n"/>
      <c r="AA431" s="16" t="n"/>
    </row>
    <row r="432">
      <c r="A432" s="16" t="n"/>
      <c r="B432" s="16" t="n"/>
      <c r="C432" s="16" t="n"/>
      <c r="D432" s="16" t="n"/>
      <c r="E432" s="16" t="n"/>
      <c r="F432" s="16" t="n"/>
      <c r="G432" s="16" t="n"/>
      <c r="H432" s="16" t="n"/>
      <c r="I432" s="16" t="n"/>
      <c r="J432" s="16" t="n"/>
      <c r="K432" s="16" t="n"/>
      <c r="L432" s="16" t="n"/>
      <c r="M432" s="16" t="n"/>
      <c r="N432" s="16" t="n"/>
      <c r="O432" s="16" t="n"/>
      <c r="P432" s="16" t="n"/>
      <c r="Q432" s="16" t="n"/>
      <c r="R432" s="16" t="n"/>
      <c r="S432" s="16" t="n"/>
      <c r="T432" s="16" t="n"/>
      <c r="U432" s="16" t="n"/>
      <c r="V432" s="16" t="n"/>
      <c r="W432" s="16" t="n"/>
      <c r="X432" s="16" t="n"/>
      <c r="Y432" s="16" t="n"/>
      <c r="Z432" s="16" t="n"/>
      <c r="AA432" s="16" t="n"/>
    </row>
    <row r="433">
      <c r="A433" s="16" t="n"/>
      <c r="B433" s="16" t="n"/>
      <c r="C433" s="16" t="n"/>
      <c r="D433" s="16" t="n"/>
      <c r="E433" s="16" t="n"/>
      <c r="F433" s="16" t="n"/>
      <c r="G433" s="16" t="n"/>
      <c r="H433" s="16" t="n"/>
      <c r="I433" s="16" t="n"/>
      <c r="J433" s="16" t="n"/>
      <c r="K433" s="16" t="n"/>
      <c r="L433" s="16" t="n"/>
      <c r="M433" s="16" t="n"/>
      <c r="N433" s="16" t="n"/>
      <c r="O433" s="16" t="n"/>
      <c r="P433" s="16" t="n"/>
      <c r="Q433" s="16" t="n"/>
      <c r="R433" s="16" t="n"/>
      <c r="S433" s="16" t="n"/>
      <c r="T433" s="16" t="n"/>
      <c r="U433" s="16" t="n"/>
      <c r="V433" s="16" t="n"/>
      <c r="W433" s="16" t="n"/>
      <c r="X433" s="16" t="n"/>
      <c r="Y433" s="16" t="n"/>
      <c r="Z433" s="16" t="n"/>
      <c r="AA433" s="16" t="n"/>
    </row>
    <row r="434">
      <c r="A434" s="16" t="n"/>
      <c r="B434" s="16" t="n"/>
      <c r="C434" s="16" t="n"/>
      <c r="D434" s="16" t="n"/>
      <c r="E434" s="16" t="n"/>
      <c r="F434" s="16" t="n"/>
      <c r="G434" s="16" t="n"/>
      <c r="H434" s="16" t="n"/>
      <c r="I434" s="16" t="n"/>
      <c r="J434" s="16" t="n"/>
      <c r="K434" s="16" t="n"/>
      <c r="L434" s="16" t="n"/>
      <c r="M434" s="16" t="n"/>
      <c r="N434" s="16" t="n"/>
      <c r="O434" s="16" t="n"/>
      <c r="P434" s="16" t="n"/>
      <c r="Q434" s="16" t="n"/>
      <c r="R434" s="16" t="n"/>
      <c r="S434" s="16" t="n"/>
      <c r="T434" s="16" t="n"/>
      <c r="U434" s="16" t="n"/>
      <c r="V434" s="16" t="n"/>
      <c r="W434" s="16" t="n"/>
      <c r="X434" s="16" t="n"/>
      <c r="Y434" s="16" t="n"/>
      <c r="Z434" s="16" t="n"/>
      <c r="AA434" s="16" t="n"/>
    </row>
    <row r="435">
      <c r="A435" s="16" t="n"/>
      <c r="B435" s="16" t="n"/>
      <c r="C435" s="16" t="n"/>
      <c r="D435" s="16" t="n"/>
      <c r="E435" s="16" t="n"/>
      <c r="F435" s="16" t="n"/>
      <c r="G435" s="16" t="n"/>
      <c r="H435" s="16" t="n"/>
      <c r="I435" s="16" t="n"/>
      <c r="J435" s="16" t="n"/>
      <c r="K435" s="16" t="n"/>
      <c r="L435" s="16" t="n"/>
      <c r="M435" s="16" t="n"/>
      <c r="N435" s="16" t="n"/>
      <c r="O435" s="16" t="n"/>
      <c r="P435" s="16" t="n"/>
      <c r="Q435" s="16" t="n"/>
      <c r="R435" s="16" t="n"/>
      <c r="S435" s="16" t="n"/>
      <c r="T435" s="16" t="n"/>
      <c r="U435" s="16" t="n"/>
      <c r="V435" s="16" t="n"/>
      <c r="W435" s="16" t="n"/>
      <c r="X435" s="16" t="n"/>
      <c r="Y435" s="16" t="n"/>
      <c r="Z435" s="16" t="n"/>
      <c r="AA435" s="16" t="n"/>
    </row>
    <row r="436">
      <c r="A436" s="16" t="n"/>
      <c r="B436" s="16" t="n"/>
      <c r="C436" s="16" t="n"/>
      <c r="D436" s="16" t="n"/>
      <c r="E436" s="16" t="n"/>
      <c r="F436" s="16" t="n"/>
      <c r="G436" s="16" t="n"/>
      <c r="H436" s="16" t="n"/>
      <c r="I436" s="16" t="n"/>
      <c r="J436" s="16" t="n"/>
      <c r="K436" s="16" t="n"/>
      <c r="L436" s="16" t="n"/>
      <c r="M436" s="16" t="n"/>
      <c r="N436" s="16" t="n"/>
      <c r="O436" s="16" t="n"/>
      <c r="P436" s="16" t="n"/>
      <c r="Q436" s="16" t="n"/>
      <c r="R436" s="16" t="n"/>
      <c r="S436" s="16" t="n"/>
      <c r="T436" s="16" t="n"/>
      <c r="U436" s="16" t="n"/>
      <c r="V436" s="16" t="n"/>
      <c r="W436" s="16" t="n"/>
      <c r="X436" s="16" t="n"/>
      <c r="Y436" s="16" t="n"/>
      <c r="Z436" s="16" t="n"/>
      <c r="AA436" s="16" t="n"/>
    </row>
    <row r="437">
      <c r="A437" s="16" t="n"/>
      <c r="B437" s="16" t="n"/>
      <c r="C437" s="16" t="n"/>
      <c r="D437" s="16" t="n"/>
      <c r="E437" s="16" t="n"/>
      <c r="F437" s="16" t="n"/>
      <c r="G437" s="16" t="n"/>
      <c r="H437" s="16" t="n"/>
      <c r="I437" s="16" t="n"/>
      <c r="J437" s="16" t="n"/>
      <c r="K437" s="16" t="n"/>
      <c r="L437" s="16" t="n"/>
      <c r="M437" s="16" t="n"/>
      <c r="N437" s="16" t="n"/>
      <c r="O437" s="16" t="n"/>
      <c r="P437" s="16" t="n"/>
      <c r="Q437" s="16" t="n"/>
      <c r="R437" s="16" t="n"/>
      <c r="S437" s="16" t="n"/>
      <c r="T437" s="16" t="n"/>
      <c r="U437" s="16" t="n"/>
      <c r="V437" s="16" t="n"/>
      <c r="W437" s="16" t="n"/>
      <c r="X437" s="16" t="n"/>
      <c r="Y437" s="16" t="n"/>
      <c r="Z437" s="16" t="n"/>
      <c r="AA437" s="16" t="n"/>
    </row>
    <row r="438">
      <c r="A438" s="16" t="n"/>
      <c r="B438" s="16" t="n"/>
      <c r="C438" s="16" t="n"/>
      <c r="D438" s="16" t="n"/>
      <c r="E438" s="16" t="n"/>
      <c r="F438" s="16" t="n"/>
      <c r="G438" s="16" t="n"/>
      <c r="H438" s="16" t="n"/>
      <c r="I438" s="16" t="n"/>
      <c r="J438" s="16" t="n"/>
      <c r="K438" s="16" t="n"/>
      <c r="L438" s="16" t="n"/>
      <c r="M438" s="16" t="n"/>
      <c r="N438" s="16" t="n"/>
      <c r="O438" s="16" t="n"/>
      <c r="P438" s="16" t="n"/>
      <c r="Q438" s="16" t="n"/>
      <c r="R438" s="16" t="n"/>
      <c r="S438" s="16" t="n"/>
      <c r="T438" s="16" t="n"/>
      <c r="U438" s="16" t="n"/>
      <c r="V438" s="16" t="n"/>
      <c r="W438" s="16" t="n"/>
      <c r="X438" s="16" t="n"/>
      <c r="Y438" s="16" t="n"/>
      <c r="Z438" s="16" t="n"/>
      <c r="AA438" s="16" t="n"/>
    </row>
    <row r="439">
      <c r="A439" s="16" t="n"/>
      <c r="B439" s="16" t="n"/>
      <c r="C439" s="16" t="n"/>
      <c r="D439" s="16" t="n"/>
      <c r="E439" s="16" t="n"/>
      <c r="F439" s="16" t="n"/>
      <c r="G439" s="16" t="n"/>
      <c r="H439" s="16" t="n"/>
      <c r="I439" s="16" t="n"/>
      <c r="J439" s="16" t="n"/>
      <c r="K439" s="16" t="n"/>
      <c r="L439" s="16" t="n"/>
      <c r="M439" s="16" t="n"/>
      <c r="N439" s="16" t="n"/>
      <c r="O439" s="16" t="n"/>
      <c r="P439" s="16" t="n"/>
      <c r="Q439" s="16" t="n"/>
      <c r="R439" s="16" t="n"/>
      <c r="S439" s="16" t="n"/>
      <c r="T439" s="16" t="n"/>
      <c r="U439" s="16" t="n"/>
      <c r="V439" s="16" t="n"/>
      <c r="W439" s="16" t="n"/>
      <c r="X439" s="16" t="n"/>
      <c r="Y439" s="16" t="n"/>
      <c r="Z439" s="16" t="n"/>
      <c r="AA439" s="16" t="n"/>
    </row>
    <row r="440">
      <c r="A440" s="16" t="n"/>
      <c r="B440" s="16" t="n"/>
      <c r="C440" s="16" t="n"/>
      <c r="D440" s="16" t="n"/>
      <c r="E440" s="16" t="n"/>
      <c r="F440" s="16" t="n"/>
      <c r="G440" s="16" t="n"/>
      <c r="H440" s="16" t="n"/>
      <c r="I440" s="16" t="n"/>
      <c r="J440" s="16" t="n"/>
      <c r="K440" s="16" t="n"/>
      <c r="L440" s="16" t="n"/>
      <c r="M440" s="16" t="n"/>
      <c r="N440" s="16" t="n"/>
      <c r="O440" s="16" t="n"/>
      <c r="P440" s="16" t="n"/>
      <c r="Q440" s="16" t="n"/>
      <c r="R440" s="16" t="n"/>
      <c r="S440" s="16" t="n"/>
      <c r="T440" s="16" t="n"/>
      <c r="U440" s="16" t="n"/>
      <c r="V440" s="16" t="n"/>
      <c r="W440" s="16" t="n"/>
      <c r="X440" s="16" t="n"/>
      <c r="Y440" s="16" t="n"/>
      <c r="Z440" s="16" t="n"/>
      <c r="AA440" s="16" t="n"/>
    </row>
    <row r="441">
      <c r="A441" s="16" t="n"/>
      <c r="B441" s="16" t="n"/>
      <c r="C441" s="16" t="n"/>
      <c r="D441" s="16" t="n"/>
      <c r="E441" s="16" t="n"/>
      <c r="F441" s="16" t="n"/>
      <c r="G441" s="16" t="n"/>
      <c r="H441" s="16" t="n"/>
      <c r="I441" s="16" t="n"/>
      <c r="J441" s="16" t="n"/>
      <c r="K441" s="16" t="n"/>
      <c r="L441" s="16" t="n"/>
      <c r="M441" s="16" t="n"/>
      <c r="N441" s="16" t="n"/>
      <c r="O441" s="16" t="n"/>
      <c r="P441" s="16" t="n"/>
      <c r="Q441" s="16" t="n"/>
      <c r="R441" s="16" t="n"/>
      <c r="S441" s="16" t="n"/>
      <c r="T441" s="16" t="n"/>
      <c r="U441" s="16" t="n"/>
      <c r="V441" s="16" t="n"/>
      <c r="W441" s="16" t="n"/>
      <c r="X441" s="16" t="n"/>
      <c r="Y441" s="16" t="n"/>
      <c r="Z441" s="16" t="n"/>
      <c r="AA441" s="16" t="n"/>
    </row>
    <row r="442">
      <c r="A442" s="16" t="n"/>
      <c r="B442" s="16" t="n"/>
      <c r="C442" s="16" t="n"/>
      <c r="D442" s="16" t="n"/>
      <c r="E442" s="16" t="n"/>
      <c r="F442" s="16" t="n"/>
      <c r="G442" s="16" t="n"/>
      <c r="H442" s="16" t="n"/>
      <c r="I442" s="16" t="n"/>
      <c r="J442" s="16" t="n"/>
      <c r="K442" s="16" t="n"/>
      <c r="L442" s="16" t="n"/>
      <c r="M442" s="16" t="n"/>
      <c r="N442" s="16" t="n"/>
      <c r="O442" s="16" t="n"/>
      <c r="P442" s="16" t="n"/>
      <c r="Q442" s="16" t="n"/>
      <c r="R442" s="16" t="n"/>
      <c r="S442" s="16" t="n"/>
      <c r="T442" s="16" t="n"/>
      <c r="U442" s="16" t="n"/>
      <c r="V442" s="16" t="n"/>
      <c r="W442" s="16" t="n"/>
      <c r="X442" s="16" t="n"/>
      <c r="Y442" s="16" t="n"/>
      <c r="Z442" s="16" t="n"/>
      <c r="AA442" s="16" t="n"/>
    </row>
    <row r="443">
      <c r="A443" s="16" t="n"/>
      <c r="B443" s="16" t="n"/>
      <c r="C443" s="16" t="n"/>
      <c r="D443" s="16" t="n"/>
      <c r="E443" s="16" t="n"/>
      <c r="F443" s="16" t="n"/>
      <c r="G443" s="16" t="n"/>
      <c r="H443" s="16" t="n"/>
      <c r="I443" s="16" t="n"/>
      <c r="J443" s="16" t="n"/>
      <c r="K443" s="16" t="n"/>
      <c r="L443" s="16" t="n"/>
      <c r="M443" s="16" t="n"/>
      <c r="N443" s="16" t="n"/>
      <c r="O443" s="16" t="n"/>
      <c r="P443" s="16" t="n"/>
      <c r="Q443" s="16" t="n"/>
      <c r="R443" s="16" t="n"/>
      <c r="S443" s="16" t="n"/>
      <c r="T443" s="16" t="n"/>
      <c r="U443" s="16" t="n"/>
      <c r="V443" s="16" t="n"/>
      <c r="W443" s="16" t="n"/>
      <c r="X443" s="16" t="n"/>
      <c r="Y443" s="16" t="n"/>
      <c r="Z443" s="16" t="n"/>
      <c r="AA443" s="16" t="n"/>
    </row>
    <row r="444">
      <c r="A444" s="16" t="n"/>
      <c r="B444" s="16" t="n"/>
      <c r="C444" s="16" t="n"/>
      <c r="D444" s="16" t="n"/>
      <c r="E444" s="16" t="n"/>
      <c r="F444" s="16" t="n"/>
      <c r="G444" s="16" t="n"/>
      <c r="H444" s="16" t="n"/>
      <c r="I444" s="16" t="n"/>
      <c r="J444" s="16" t="n"/>
      <c r="K444" s="16" t="n"/>
      <c r="L444" s="16" t="n"/>
      <c r="M444" s="16" t="n"/>
      <c r="N444" s="16" t="n"/>
      <c r="O444" s="16" t="n"/>
      <c r="P444" s="16" t="n"/>
      <c r="Q444" s="16" t="n"/>
      <c r="R444" s="16" t="n"/>
      <c r="S444" s="16" t="n"/>
      <c r="T444" s="16" t="n"/>
      <c r="U444" s="16" t="n"/>
      <c r="V444" s="16" t="n"/>
      <c r="W444" s="16" t="n"/>
      <c r="X444" s="16" t="n"/>
      <c r="Y444" s="16" t="n"/>
      <c r="Z444" s="16" t="n"/>
      <c r="AA444" s="16" t="n"/>
    </row>
    <row r="445">
      <c r="A445" s="16" t="n"/>
      <c r="B445" s="16" t="n"/>
      <c r="C445" s="16" t="n"/>
      <c r="D445" s="16" t="n"/>
      <c r="E445" s="16" t="n"/>
      <c r="F445" s="16" t="n"/>
      <c r="G445" s="16" t="n"/>
      <c r="H445" s="16" t="n"/>
      <c r="I445" s="16" t="n"/>
      <c r="J445" s="16" t="n"/>
      <c r="K445" s="16" t="n"/>
      <c r="L445" s="16" t="n"/>
      <c r="M445" s="16" t="n"/>
      <c r="N445" s="16" t="n"/>
      <c r="O445" s="16" t="n"/>
      <c r="P445" s="16" t="n"/>
      <c r="Q445" s="16" t="n"/>
      <c r="R445" s="16" t="n"/>
      <c r="S445" s="16" t="n"/>
      <c r="T445" s="16" t="n"/>
      <c r="U445" s="16" t="n"/>
      <c r="V445" s="16" t="n"/>
      <c r="W445" s="16" t="n"/>
      <c r="X445" s="16" t="n"/>
      <c r="Y445" s="16" t="n"/>
      <c r="Z445" s="16" t="n"/>
      <c r="AA445" s="16" t="n"/>
    </row>
    <row r="446">
      <c r="A446" s="16" t="n"/>
      <c r="B446" s="16" t="n"/>
      <c r="C446" s="16" t="n"/>
      <c r="D446" s="16" t="n"/>
      <c r="E446" s="16" t="n"/>
      <c r="F446" s="16" t="n"/>
      <c r="G446" s="16" t="n"/>
      <c r="H446" s="16" t="n"/>
      <c r="I446" s="16" t="n"/>
      <c r="J446" s="16" t="n"/>
      <c r="K446" s="16" t="n"/>
      <c r="L446" s="16" t="n"/>
      <c r="M446" s="16" t="n"/>
      <c r="N446" s="16" t="n"/>
      <c r="O446" s="16" t="n"/>
      <c r="P446" s="16" t="n"/>
      <c r="Q446" s="16" t="n"/>
      <c r="R446" s="16" t="n"/>
      <c r="S446" s="16" t="n"/>
      <c r="T446" s="16" t="n"/>
      <c r="U446" s="16" t="n"/>
      <c r="V446" s="16" t="n"/>
      <c r="W446" s="16" t="n"/>
      <c r="X446" s="16" t="n"/>
      <c r="Y446" s="16" t="n"/>
      <c r="Z446" s="16" t="n"/>
      <c r="AA446" s="16" t="n"/>
    </row>
    <row r="447">
      <c r="A447" s="16" t="n"/>
      <c r="B447" s="16" t="n"/>
      <c r="C447" s="16" t="n"/>
      <c r="D447" s="16" t="n"/>
      <c r="E447" s="16" t="n"/>
      <c r="F447" s="16" t="n"/>
      <c r="G447" s="16" t="n"/>
      <c r="H447" s="16" t="n"/>
      <c r="I447" s="16" t="n"/>
      <c r="J447" s="16" t="n"/>
      <c r="K447" s="16" t="n"/>
      <c r="L447" s="16" t="n"/>
      <c r="M447" s="16" t="n"/>
      <c r="N447" s="16" t="n"/>
      <c r="O447" s="16" t="n"/>
      <c r="P447" s="16" t="n"/>
      <c r="Q447" s="16" t="n"/>
      <c r="R447" s="16" t="n"/>
      <c r="S447" s="16" t="n"/>
      <c r="T447" s="16" t="n"/>
      <c r="U447" s="16" t="n"/>
      <c r="V447" s="16" t="n"/>
      <c r="W447" s="16" t="n"/>
      <c r="X447" s="16" t="n"/>
      <c r="Y447" s="16" t="n"/>
      <c r="Z447" s="16" t="n"/>
      <c r="AA447" s="16" t="n"/>
    </row>
    <row r="448">
      <c r="A448" s="16" t="n"/>
      <c r="B448" s="16" t="n"/>
      <c r="C448" s="16" t="n"/>
      <c r="D448" s="16" t="n"/>
      <c r="E448" s="16" t="n"/>
      <c r="F448" s="16" t="n"/>
      <c r="G448" s="16" t="n"/>
      <c r="H448" s="16" t="n"/>
      <c r="I448" s="16" t="n"/>
      <c r="J448" s="16" t="n"/>
      <c r="K448" s="16" t="n"/>
      <c r="L448" s="16" t="n"/>
      <c r="M448" s="16" t="n"/>
      <c r="N448" s="16" t="n"/>
      <c r="O448" s="16" t="n"/>
      <c r="P448" s="16" t="n"/>
      <c r="Q448" s="16" t="n"/>
      <c r="R448" s="16" t="n"/>
      <c r="S448" s="16" t="n"/>
      <c r="T448" s="16" t="n"/>
      <c r="U448" s="16" t="n"/>
      <c r="V448" s="16" t="n"/>
      <c r="W448" s="16" t="n"/>
      <c r="X448" s="16" t="n"/>
      <c r="Y448" s="16" t="n"/>
      <c r="Z448" s="16" t="n"/>
      <c r="AA448" s="16" t="n"/>
    </row>
    <row r="449">
      <c r="A449" s="16" t="n"/>
      <c r="B449" s="16" t="n"/>
      <c r="C449" s="16" t="n"/>
      <c r="D449" s="16" t="n"/>
      <c r="E449" s="16" t="n"/>
      <c r="F449" s="16" t="n"/>
      <c r="G449" s="16" t="n"/>
      <c r="H449" s="16" t="n"/>
      <c r="I449" s="16" t="n"/>
      <c r="J449" s="16" t="n"/>
      <c r="K449" s="16" t="n"/>
      <c r="L449" s="16" t="n"/>
      <c r="M449" s="16" t="n"/>
      <c r="N449" s="16" t="n"/>
      <c r="O449" s="16" t="n"/>
      <c r="P449" s="16" t="n"/>
      <c r="Q449" s="16" t="n"/>
      <c r="R449" s="16" t="n"/>
      <c r="S449" s="16" t="n"/>
      <c r="T449" s="16" t="n"/>
      <c r="U449" s="16" t="n"/>
      <c r="V449" s="16" t="n"/>
      <c r="W449" s="16" t="n"/>
      <c r="X449" s="16" t="n"/>
      <c r="Y449" s="16" t="n"/>
      <c r="Z449" s="16" t="n"/>
      <c r="AA449" s="16" t="n"/>
    </row>
    <row r="450">
      <c r="A450" s="16" t="n"/>
      <c r="B450" s="16" t="n"/>
      <c r="C450" s="16" t="n"/>
      <c r="D450" s="16" t="n"/>
      <c r="E450" s="16" t="n"/>
      <c r="F450" s="16" t="n"/>
      <c r="G450" s="16" t="n"/>
      <c r="H450" s="16" t="n"/>
      <c r="I450" s="16" t="n"/>
      <c r="J450" s="16" t="n"/>
      <c r="K450" s="16" t="n"/>
      <c r="L450" s="16" t="n"/>
      <c r="M450" s="16" t="n"/>
      <c r="N450" s="16" t="n"/>
      <c r="O450" s="16" t="n"/>
      <c r="P450" s="16" t="n"/>
      <c r="Q450" s="16" t="n"/>
      <c r="R450" s="16" t="n"/>
      <c r="S450" s="16" t="n"/>
      <c r="T450" s="16" t="n"/>
      <c r="U450" s="16" t="n"/>
      <c r="V450" s="16" t="n"/>
      <c r="W450" s="16" t="n"/>
      <c r="X450" s="16" t="n"/>
      <c r="Y450" s="16" t="n"/>
      <c r="Z450" s="16" t="n"/>
      <c r="AA450" s="16" t="n"/>
    </row>
    <row r="451">
      <c r="A451" s="16" t="n"/>
      <c r="B451" s="16" t="n"/>
      <c r="C451" s="16" t="n"/>
      <c r="D451" s="16" t="n"/>
      <c r="E451" s="16" t="n"/>
      <c r="F451" s="16" t="n"/>
      <c r="G451" s="16" t="n"/>
      <c r="H451" s="16" t="n"/>
      <c r="I451" s="16" t="n"/>
      <c r="J451" s="16" t="n"/>
      <c r="K451" s="16" t="n"/>
      <c r="L451" s="16" t="n"/>
      <c r="M451" s="16" t="n"/>
      <c r="N451" s="16" t="n"/>
      <c r="O451" s="16" t="n"/>
      <c r="P451" s="16" t="n"/>
      <c r="Q451" s="16" t="n"/>
      <c r="R451" s="16" t="n"/>
      <c r="S451" s="16" t="n"/>
      <c r="T451" s="16" t="n"/>
      <c r="U451" s="16" t="n"/>
      <c r="V451" s="16" t="n"/>
      <c r="W451" s="16" t="n"/>
      <c r="X451" s="16" t="n"/>
      <c r="Y451" s="16" t="n"/>
      <c r="Z451" s="16" t="n"/>
      <c r="AA451" s="16" t="n"/>
    </row>
    <row r="452">
      <c r="A452" s="16" t="n"/>
      <c r="B452" s="16" t="n"/>
      <c r="C452" s="16" t="n"/>
      <c r="D452" s="16" t="n"/>
      <c r="E452" s="16" t="n"/>
      <c r="F452" s="16" t="n"/>
      <c r="G452" s="16" t="n"/>
      <c r="H452" s="16" t="n"/>
      <c r="I452" s="16" t="n"/>
      <c r="J452" s="16" t="n"/>
      <c r="K452" s="16" t="n"/>
      <c r="L452" s="16" t="n"/>
      <c r="M452" s="16" t="n"/>
      <c r="N452" s="16" t="n"/>
      <c r="O452" s="16" t="n"/>
      <c r="P452" s="16" t="n"/>
      <c r="Q452" s="16" t="n"/>
      <c r="R452" s="16" t="n"/>
      <c r="S452" s="16" t="n"/>
      <c r="T452" s="16" t="n"/>
      <c r="U452" s="16" t="n"/>
      <c r="V452" s="16" t="n"/>
      <c r="W452" s="16" t="n"/>
      <c r="X452" s="16" t="n"/>
      <c r="Y452" s="16" t="n"/>
      <c r="Z452" s="16" t="n"/>
      <c r="AA452" s="16" t="n"/>
    </row>
    <row r="453">
      <c r="A453" s="16" t="n"/>
      <c r="B453" s="16" t="n"/>
      <c r="C453" s="16" t="n"/>
      <c r="D453" s="16" t="n"/>
      <c r="E453" s="16" t="n"/>
      <c r="F453" s="16" t="n"/>
      <c r="G453" s="16" t="n"/>
      <c r="H453" s="16" t="n"/>
      <c r="I453" s="16" t="n"/>
      <c r="J453" s="16" t="n"/>
      <c r="K453" s="16" t="n"/>
      <c r="L453" s="16" t="n"/>
      <c r="M453" s="16" t="n"/>
      <c r="N453" s="16" t="n"/>
      <c r="O453" s="16" t="n"/>
      <c r="P453" s="16" t="n"/>
      <c r="Q453" s="16" t="n"/>
      <c r="R453" s="16" t="n"/>
      <c r="S453" s="16" t="n"/>
      <c r="T453" s="16" t="n"/>
      <c r="U453" s="16" t="n"/>
      <c r="V453" s="16" t="n"/>
      <c r="W453" s="16" t="n"/>
      <c r="X453" s="16" t="n"/>
      <c r="Y453" s="16" t="n"/>
      <c r="Z453" s="16" t="n"/>
      <c r="AA453" s="16" t="n"/>
    </row>
    <row r="454">
      <c r="A454" s="16" t="n"/>
      <c r="B454" s="16" t="n"/>
      <c r="C454" s="16" t="n"/>
      <c r="D454" s="16" t="n"/>
      <c r="E454" s="16" t="n"/>
      <c r="F454" s="16" t="n"/>
      <c r="G454" s="16" t="n"/>
      <c r="H454" s="16" t="n"/>
      <c r="I454" s="16" t="n"/>
      <c r="J454" s="16" t="n"/>
      <c r="K454" s="16" t="n"/>
      <c r="L454" s="16" t="n"/>
      <c r="M454" s="16" t="n"/>
      <c r="N454" s="16" t="n"/>
      <c r="O454" s="16" t="n"/>
      <c r="P454" s="16" t="n"/>
      <c r="Q454" s="16" t="n"/>
      <c r="R454" s="16" t="n"/>
      <c r="S454" s="16" t="n"/>
      <c r="T454" s="16" t="n"/>
      <c r="U454" s="16" t="n"/>
      <c r="V454" s="16" t="n"/>
      <c r="W454" s="16" t="n"/>
      <c r="X454" s="16" t="n"/>
      <c r="Y454" s="16" t="n"/>
      <c r="Z454" s="16" t="n"/>
      <c r="AA454" s="16" t="n"/>
    </row>
    <row r="455">
      <c r="A455" s="16" t="n"/>
      <c r="B455" s="16" t="n"/>
      <c r="C455" s="16" t="n"/>
      <c r="D455" s="16" t="n"/>
      <c r="E455" s="16" t="n"/>
      <c r="F455" s="16" t="n"/>
      <c r="G455" s="16" t="n"/>
      <c r="H455" s="16" t="n"/>
      <c r="I455" s="16" t="n"/>
      <c r="J455" s="16" t="n"/>
      <c r="K455" s="16" t="n"/>
      <c r="L455" s="16" t="n"/>
      <c r="M455" s="16" t="n"/>
      <c r="N455" s="16" t="n"/>
      <c r="O455" s="16" t="n"/>
      <c r="P455" s="16" t="n"/>
      <c r="Q455" s="16" t="n"/>
      <c r="R455" s="16" t="n"/>
      <c r="S455" s="16" t="n"/>
      <c r="T455" s="16" t="n"/>
      <c r="U455" s="16" t="n"/>
      <c r="V455" s="16" t="n"/>
      <c r="W455" s="16" t="n"/>
      <c r="X455" s="16" t="n"/>
      <c r="Y455" s="16" t="n"/>
      <c r="Z455" s="16" t="n"/>
      <c r="AA455" s="16" t="n"/>
    </row>
    <row r="456">
      <c r="A456" s="16" t="n"/>
      <c r="B456" s="16" t="n"/>
      <c r="C456" s="16" t="n"/>
      <c r="D456" s="16" t="n"/>
      <c r="E456" s="16" t="n"/>
      <c r="F456" s="16" t="n"/>
      <c r="G456" s="16" t="n"/>
      <c r="H456" s="16" t="n"/>
      <c r="I456" s="16" t="n"/>
      <c r="J456" s="16" t="n"/>
      <c r="K456" s="16" t="n"/>
      <c r="L456" s="16" t="n"/>
      <c r="M456" s="16" t="n"/>
      <c r="N456" s="16" t="n"/>
      <c r="O456" s="16" t="n"/>
      <c r="P456" s="16" t="n"/>
      <c r="Q456" s="16" t="n"/>
      <c r="R456" s="16" t="n"/>
      <c r="S456" s="16" t="n"/>
      <c r="T456" s="16" t="n"/>
      <c r="U456" s="16" t="n"/>
      <c r="V456" s="16" t="n"/>
      <c r="W456" s="16" t="n"/>
      <c r="X456" s="16" t="n"/>
      <c r="Y456" s="16" t="n"/>
      <c r="Z456" s="16" t="n"/>
      <c r="AA456" s="16" t="n"/>
    </row>
    <row r="457">
      <c r="A457" s="16" t="n"/>
      <c r="B457" s="16" t="n"/>
      <c r="C457" s="16" t="n"/>
      <c r="D457" s="16" t="n"/>
      <c r="E457" s="16" t="n"/>
      <c r="F457" s="16" t="n"/>
      <c r="G457" s="16" t="n"/>
      <c r="H457" s="16" t="n"/>
      <c r="I457" s="16" t="n"/>
      <c r="J457" s="16" t="n"/>
      <c r="K457" s="16" t="n"/>
      <c r="L457" s="16" t="n"/>
      <c r="M457" s="16" t="n"/>
      <c r="N457" s="16" t="n"/>
      <c r="O457" s="16" t="n"/>
      <c r="P457" s="16" t="n"/>
      <c r="Q457" s="16" t="n"/>
      <c r="R457" s="16" t="n"/>
      <c r="S457" s="16" t="n"/>
      <c r="T457" s="16" t="n"/>
      <c r="U457" s="16" t="n"/>
      <c r="V457" s="16" t="n"/>
      <c r="W457" s="16" t="n"/>
      <c r="X457" s="16" t="n"/>
      <c r="Y457" s="16" t="n"/>
      <c r="Z457" s="16" t="n"/>
      <c r="AA457" s="16" t="n"/>
    </row>
    <row r="458">
      <c r="A458" s="16" t="n"/>
      <c r="B458" s="16" t="n"/>
      <c r="C458" s="16" t="n"/>
      <c r="D458" s="16" t="n"/>
      <c r="E458" s="16" t="n"/>
      <c r="F458" s="16" t="n"/>
      <c r="G458" s="16" t="n"/>
      <c r="H458" s="16" t="n"/>
      <c r="I458" s="16" t="n"/>
      <c r="J458" s="16" t="n"/>
      <c r="K458" s="16" t="n"/>
      <c r="L458" s="16" t="n"/>
      <c r="M458" s="16" t="n"/>
      <c r="N458" s="16" t="n"/>
      <c r="O458" s="16" t="n"/>
      <c r="P458" s="16" t="n"/>
      <c r="Q458" s="16" t="n"/>
      <c r="R458" s="16" t="n"/>
      <c r="S458" s="16" t="n"/>
      <c r="T458" s="16" t="n"/>
      <c r="U458" s="16" t="n"/>
      <c r="V458" s="16" t="n"/>
      <c r="W458" s="16" t="n"/>
      <c r="X458" s="16" t="n"/>
      <c r="Y458" s="16" t="n"/>
      <c r="Z458" s="16" t="n"/>
      <c r="AA458" s="16" t="n"/>
    </row>
    <row r="459">
      <c r="A459" s="16" t="n"/>
      <c r="B459" s="16" t="n"/>
      <c r="C459" s="16" t="n"/>
      <c r="D459" s="16" t="n"/>
      <c r="E459" s="16" t="n"/>
      <c r="F459" s="16" t="n"/>
      <c r="G459" s="16" t="n"/>
      <c r="H459" s="16" t="n"/>
      <c r="I459" s="16" t="n"/>
      <c r="J459" s="16" t="n"/>
      <c r="K459" s="16" t="n"/>
      <c r="L459" s="16" t="n"/>
      <c r="M459" s="16" t="n"/>
      <c r="N459" s="16" t="n"/>
      <c r="O459" s="16" t="n"/>
      <c r="P459" s="16" t="n"/>
      <c r="Q459" s="16" t="n"/>
      <c r="R459" s="16" t="n"/>
      <c r="S459" s="16" t="n"/>
      <c r="T459" s="16" t="n"/>
      <c r="U459" s="16" t="n"/>
      <c r="V459" s="16" t="n"/>
      <c r="W459" s="16" t="n"/>
      <c r="X459" s="16" t="n"/>
      <c r="Y459" s="16" t="n"/>
      <c r="Z459" s="16" t="n"/>
      <c r="AA459" s="16" t="n"/>
    </row>
    <row r="460">
      <c r="A460" s="16" t="n"/>
      <c r="B460" s="16" t="n"/>
      <c r="C460" s="16" t="n"/>
      <c r="D460" s="16" t="n"/>
      <c r="E460" s="16" t="n"/>
      <c r="F460" s="16" t="n"/>
      <c r="G460" s="16" t="n"/>
      <c r="H460" s="16" t="n"/>
      <c r="I460" s="16" t="n"/>
      <c r="J460" s="16" t="n"/>
      <c r="K460" s="16" t="n"/>
      <c r="L460" s="16" t="n"/>
      <c r="M460" s="16" t="n"/>
      <c r="N460" s="16" t="n"/>
      <c r="O460" s="16" t="n"/>
      <c r="P460" s="16" t="n"/>
      <c r="Q460" s="16" t="n"/>
      <c r="R460" s="16" t="n"/>
      <c r="S460" s="16" t="n"/>
      <c r="T460" s="16" t="n"/>
      <c r="U460" s="16" t="n"/>
      <c r="V460" s="16" t="n"/>
      <c r="W460" s="16" t="n"/>
      <c r="X460" s="16" t="n"/>
      <c r="Y460" s="16" t="n"/>
      <c r="Z460" s="16" t="n"/>
      <c r="AA460" s="16" t="n"/>
    </row>
    <row r="461">
      <c r="A461" s="16" t="n"/>
      <c r="B461" s="16" t="n"/>
      <c r="C461" s="16" t="n"/>
      <c r="D461" s="16" t="n"/>
      <c r="E461" s="16" t="n"/>
      <c r="F461" s="16" t="n"/>
      <c r="G461" s="16" t="n"/>
      <c r="H461" s="16" t="n"/>
      <c r="I461" s="16" t="n"/>
      <c r="J461" s="16" t="n"/>
      <c r="K461" s="16" t="n"/>
      <c r="L461" s="16" t="n"/>
      <c r="M461" s="16" t="n"/>
      <c r="N461" s="16" t="n"/>
      <c r="O461" s="16" t="n"/>
      <c r="P461" s="16" t="n"/>
      <c r="Q461" s="16" t="n"/>
      <c r="R461" s="16" t="n"/>
      <c r="S461" s="16" t="n"/>
      <c r="T461" s="16" t="n"/>
      <c r="U461" s="16" t="n"/>
      <c r="V461" s="16" t="n"/>
      <c r="W461" s="16" t="n"/>
      <c r="X461" s="16" t="n"/>
      <c r="Y461" s="16" t="n"/>
      <c r="Z461" s="16" t="n"/>
      <c r="AA461" s="16" t="n"/>
    </row>
    <row r="462">
      <c r="A462" s="16" t="n"/>
      <c r="B462" s="16" t="n"/>
      <c r="C462" s="16" t="n"/>
      <c r="D462" s="16" t="n"/>
      <c r="E462" s="16" t="n"/>
      <c r="F462" s="16" t="n"/>
      <c r="G462" s="16" t="n"/>
      <c r="H462" s="16" t="n"/>
      <c r="I462" s="16" t="n"/>
      <c r="J462" s="16" t="n"/>
      <c r="K462" s="16" t="n"/>
      <c r="L462" s="16" t="n"/>
      <c r="M462" s="16" t="n"/>
      <c r="N462" s="16" t="n"/>
      <c r="O462" s="16" t="n"/>
      <c r="P462" s="16" t="n"/>
      <c r="Q462" s="16" t="n"/>
      <c r="R462" s="16" t="n"/>
      <c r="S462" s="16" t="n"/>
      <c r="T462" s="16" t="n"/>
      <c r="U462" s="16" t="n"/>
      <c r="V462" s="16" t="n"/>
      <c r="W462" s="16" t="n"/>
      <c r="X462" s="16" t="n"/>
      <c r="Y462" s="16" t="n"/>
      <c r="Z462" s="16" t="n"/>
      <c r="AA462" s="16" t="n"/>
    </row>
    <row r="463">
      <c r="A463" s="16" t="n"/>
      <c r="B463" s="16" t="n"/>
      <c r="C463" s="16" t="n"/>
      <c r="D463" s="16" t="n"/>
      <c r="E463" s="16" t="n"/>
      <c r="F463" s="16" t="n"/>
      <c r="G463" s="16" t="n"/>
      <c r="H463" s="16" t="n"/>
      <c r="I463" s="16" t="n"/>
      <c r="J463" s="16" t="n"/>
      <c r="K463" s="16" t="n"/>
      <c r="L463" s="16" t="n"/>
      <c r="M463" s="16" t="n"/>
      <c r="N463" s="16" t="n"/>
      <c r="O463" s="16" t="n"/>
      <c r="P463" s="16" t="n"/>
      <c r="Q463" s="16" t="n"/>
      <c r="R463" s="16" t="n"/>
      <c r="S463" s="16" t="n"/>
      <c r="T463" s="16" t="n"/>
      <c r="U463" s="16" t="n"/>
      <c r="V463" s="16" t="n"/>
      <c r="W463" s="16" t="n"/>
      <c r="X463" s="16" t="n"/>
      <c r="Y463" s="16" t="n"/>
      <c r="Z463" s="16" t="n"/>
      <c r="AA463" s="16" t="n"/>
    </row>
    <row r="464">
      <c r="A464" s="16" t="n"/>
      <c r="B464" s="16" t="n"/>
      <c r="C464" s="16" t="n"/>
      <c r="D464" s="16" t="n"/>
      <c r="E464" s="16" t="n"/>
      <c r="F464" s="16" t="n"/>
      <c r="G464" s="16" t="n"/>
      <c r="H464" s="16" t="n"/>
      <c r="I464" s="16" t="n"/>
      <c r="J464" s="16" t="n"/>
      <c r="K464" s="16" t="n"/>
      <c r="L464" s="16" t="n"/>
      <c r="M464" s="16" t="n"/>
      <c r="N464" s="16" t="n"/>
      <c r="O464" s="16" t="n"/>
      <c r="P464" s="16" t="n"/>
      <c r="Q464" s="16" t="n"/>
      <c r="R464" s="16" t="n"/>
      <c r="S464" s="16" t="n"/>
      <c r="T464" s="16" t="n"/>
      <c r="U464" s="16" t="n"/>
      <c r="V464" s="16" t="n"/>
      <c r="W464" s="16" t="n"/>
      <c r="X464" s="16" t="n"/>
      <c r="Y464" s="16" t="n"/>
      <c r="Z464" s="16" t="n"/>
      <c r="AA464" s="16" t="n"/>
    </row>
    <row r="465">
      <c r="A465" s="16" t="n"/>
      <c r="B465" s="16" t="n"/>
      <c r="C465" s="16" t="n"/>
      <c r="D465" s="16" t="n"/>
      <c r="E465" s="16" t="n"/>
      <c r="F465" s="16" t="n"/>
      <c r="G465" s="16" t="n"/>
      <c r="H465" s="16" t="n"/>
      <c r="I465" s="16" t="n"/>
      <c r="J465" s="16" t="n"/>
      <c r="K465" s="16" t="n"/>
      <c r="L465" s="16" t="n"/>
      <c r="M465" s="16" t="n"/>
      <c r="N465" s="16" t="n"/>
      <c r="O465" s="16" t="n"/>
      <c r="P465" s="16" t="n"/>
      <c r="Q465" s="16" t="n"/>
      <c r="R465" s="16" t="n"/>
      <c r="S465" s="16" t="n"/>
      <c r="T465" s="16" t="n"/>
      <c r="U465" s="16" t="n"/>
      <c r="V465" s="16" t="n"/>
      <c r="W465" s="16" t="n"/>
      <c r="X465" s="16" t="n"/>
      <c r="Y465" s="16" t="n"/>
      <c r="Z465" s="16" t="n"/>
      <c r="AA465" s="16" t="n"/>
    </row>
    <row r="466">
      <c r="A466" s="16" t="n"/>
      <c r="B466" s="16" t="n"/>
      <c r="C466" s="16" t="n"/>
      <c r="D466" s="16" t="n"/>
      <c r="E466" s="16" t="n"/>
      <c r="F466" s="16" t="n"/>
      <c r="G466" s="16" t="n"/>
      <c r="H466" s="16" t="n"/>
      <c r="I466" s="16" t="n"/>
      <c r="J466" s="16" t="n"/>
      <c r="K466" s="16" t="n"/>
      <c r="L466" s="16" t="n"/>
      <c r="M466" s="16" t="n"/>
      <c r="N466" s="16" t="n"/>
      <c r="O466" s="16" t="n"/>
      <c r="P466" s="16" t="n"/>
      <c r="Q466" s="16" t="n"/>
      <c r="R466" s="16" t="n"/>
      <c r="S466" s="16" t="n"/>
      <c r="T466" s="16" t="n"/>
      <c r="U466" s="16" t="n"/>
      <c r="V466" s="16" t="n"/>
      <c r="W466" s="16" t="n"/>
      <c r="X466" s="16" t="n"/>
      <c r="Y466" s="16" t="n"/>
      <c r="Z466" s="16" t="n"/>
      <c r="AA466" s="16" t="n"/>
    </row>
    <row r="467">
      <c r="A467" s="16" t="n"/>
      <c r="B467" s="16" t="n"/>
      <c r="C467" s="16" t="n"/>
      <c r="D467" s="16" t="n"/>
      <c r="E467" s="16" t="n"/>
      <c r="F467" s="16" t="n"/>
      <c r="G467" s="16" t="n"/>
      <c r="H467" s="16" t="n"/>
      <c r="I467" s="16" t="n"/>
      <c r="J467" s="16" t="n"/>
      <c r="K467" s="16" t="n"/>
      <c r="L467" s="16" t="n"/>
      <c r="M467" s="16" t="n"/>
      <c r="N467" s="16" t="n"/>
      <c r="O467" s="16" t="n"/>
      <c r="P467" s="16" t="n"/>
      <c r="Q467" s="16" t="n"/>
      <c r="R467" s="16" t="n"/>
      <c r="S467" s="16" t="n"/>
      <c r="T467" s="16" t="n"/>
      <c r="U467" s="16" t="n"/>
      <c r="V467" s="16" t="n"/>
      <c r="W467" s="16" t="n"/>
      <c r="X467" s="16" t="n"/>
      <c r="Y467" s="16" t="n"/>
      <c r="Z467" s="16" t="n"/>
      <c r="AA467" s="16" t="n"/>
    </row>
    <row r="468">
      <c r="A468" s="16" t="n"/>
      <c r="B468" s="16" t="n"/>
      <c r="C468" s="16" t="n"/>
      <c r="D468" s="16" t="n"/>
      <c r="E468" s="16" t="n"/>
      <c r="F468" s="16" t="n"/>
      <c r="G468" s="16" t="n"/>
      <c r="H468" s="16" t="n"/>
      <c r="I468" s="16" t="n"/>
      <c r="J468" s="16" t="n"/>
      <c r="K468" s="16" t="n"/>
      <c r="L468" s="16" t="n"/>
      <c r="M468" s="16" t="n"/>
      <c r="N468" s="16" t="n"/>
      <c r="O468" s="16" t="n"/>
      <c r="P468" s="16" t="n"/>
      <c r="Q468" s="16" t="n"/>
      <c r="R468" s="16" t="n"/>
      <c r="S468" s="16" t="n"/>
      <c r="T468" s="16" t="n"/>
      <c r="U468" s="16" t="n"/>
      <c r="V468" s="16" t="n"/>
      <c r="W468" s="16" t="n"/>
      <c r="X468" s="16" t="n"/>
      <c r="Y468" s="16" t="n"/>
      <c r="Z468" s="16" t="n"/>
      <c r="AA468" s="16" t="n"/>
    </row>
    <row r="469">
      <c r="A469" s="16" t="n"/>
      <c r="B469" s="16" t="n"/>
      <c r="C469" s="16" t="n"/>
      <c r="D469" s="16" t="n"/>
      <c r="E469" s="16" t="n"/>
      <c r="F469" s="16" t="n"/>
      <c r="G469" s="16" t="n"/>
      <c r="H469" s="16" t="n"/>
      <c r="I469" s="16" t="n"/>
      <c r="J469" s="16" t="n"/>
      <c r="K469" s="16" t="n"/>
      <c r="L469" s="16" t="n"/>
      <c r="M469" s="16" t="n"/>
      <c r="N469" s="16" t="n"/>
      <c r="O469" s="16" t="n"/>
      <c r="P469" s="16" t="n"/>
      <c r="Q469" s="16" t="n"/>
      <c r="R469" s="16" t="n"/>
      <c r="S469" s="16" t="n"/>
      <c r="T469" s="16" t="n"/>
      <c r="U469" s="16" t="n"/>
      <c r="V469" s="16" t="n"/>
      <c r="W469" s="16" t="n"/>
      <c r="X469" s="16" t="n"/>
      <c r="Y469" s="16" t="n"/>
      <c r="Z469" s="16" t="n"/>
      <c r="AA469" s="16" t="n"/>
    </row>
    <row r="470">
      <c r="A470" s="16" t="n"/>
      <c r="B470" s="16" t="n"/>
      <c r="C470" s="16" t="n"/>
      <c r="D470" s="16" t="n"/>
      <c r="E470" s="16" t="n"/>
      <c r="F470" s="16" t="n"/>
      <c r="G470" s="16" t="n"/>
      <c r="H470" s="16" t="n"/>
      <c r="I470" s="16" t="n"/>
      <c r="J470" s="16" t="n"/>
      <c r="K470" s="16" t="n"/>
      <c r="L470" s="16" t="n"/>
      <c r="M470" s="16" t="n"/>
      <c r="N470" s="16" t="n"/>
      <c r="O470" s="16" t="n"/>
      <c r="P470" s="16" t="n"/>
      <c r="Q470" s="16" t="n"/>
      <c r="R470" s="16" t="n"/>
      <c r="S470" s="16" t="n"/>
      <c r="T470" s="16" t="n"/>
      <c r="U470" s="16" t="n"/>
      <c r="V470" s="16" t="n"/>
      <c r="W470" s="16" t="n"/>
      <c r="X470" s="16" t="n"/>
      <c r="Y470" s="16" t="n"/>
      <c r="Z470" s="16" t="n"/>
      <c r="AA470" s="16" t="n"/>
    </row>
    <row r="471">
      <c r="A471" s="16" t="n"/>
      <c r="B471" s="16" t="n"/>
      <c r="C471" s="16" t="n"/>
      <c r="D471" s="16" t="n"/>
      <c r="E471" s="16" t="n"/>
      <c r="F471" s="16" t="n"/>
      <c r="G471" s="16" t="n"/>
      <c r="H471" s="16" t="n"/>
      <c r="I471" s="16" t="n"/>
      <c r="J471" s="16" t="n"/>
      <c r="K471" s="16" t="n"/>
      <c r="L471" s="16" t="n"/>
      <c r="M471" s="16" t="n"/>
      <c r="N471" s="16" t="n"/>
      <c r="O471" s="16" t="n"/>
      <c r="P471" s="16" t="n"/>
      <c r="Q471" s="16" t="n"/>
      <c r="R471" s="16" t="n"/>
      <c r="S471" s="16" t="n"/>
      <c r="T471" s="16" t="n"/>
      <c r="U471" s="16" t="n"/>
      <c r="V471" s="16" t="n"/>
      <c r="W471" s="16" t="n"/>
      <c r="X471" s="16" t="n"/>
      <c r="Y471" s="16" t="n"/>
      <c r="Z471" s="16" t="n"/>
      <c r="AA471" s="16" t="n"/>
    </row>
    <row r="472">
      <c r="A472" s="16" t="n"/>
      <c r="B472" s="16" t="n"/>
      <c r="C472" s="16" t="n"/>
      <c r="D472" s="16" t="n"/>
      <c r="E472" s="16" t="n"/>
      <c r="F472" s="16" t="n"/>
      <c r="G472" s="16" t="n"/>
      <c r="H472" s="16" t="n"/>
      <c r="I472" s="16" t="n"/>
      <c r="J472" s="16" t="n"/>
      <c r="K472" s="16" t="n"/>
      <c r="L472" s="16" t="n"/>
      <c r="M472" s="16" t="n"/>
      <c r="N472" s="16" t="n"/>
      <c r="O472" s="16" t="n"/>
      <c r="P472" s="16" t="n"/>
      <c r="Q472" s="16" t="n"/>
      <c r="R472" s="16" t="n"/>
      <c r="S472" s="16" t="n"/>
      <c r="T472" s="16" t="n"/>
      <c r="U472" s="16" t="n"/>
      <c r="V472" s="16" t="n"/>
      <c r="W472" s="16" t="n"/>
      <c r="X472" s="16" t="n"/>
      <c r="Y472" s="16" t="n"/>
      <c r="Z472" s="16" t="n"/>
      <c r="AA472" s="16" t="n"/>
    </row>
    <row r="473">
      <c r="A473" s="16" t="n"/>
      <c r="B473" s="16" t="n"/>
      <c r="C473" s="16" t="n"/>
      <c r="D473" s="16" t="n"/>
      <c r="E473" s="16" t="n"/>
      <c r="F473" s="16" t="n"/>
      <c r="G473" s="16" t="n"/>
      <c r="H473" s="16" t="n"/>
      <c r="I473" s="16" t="n"/>
      <c r="J473" s="16" t="n"/>
      <c r="K473" s="16" t="n"/>
      <c r="L473" s="16" t="n"/>
      <c r="M473" s="16" t="n"/>
      <c r="N473" s="16" t="n"/>
      <c r="O473" s="16" t="n"/>
      <c r="P473" s="16" t="n"/>
      <c r="Q473" s="16" t="n"/>
      <c r="R473" s="16" t="n"/>
      <c r="S473" s="16" t="n"/>
      <c r="T473" s="16" t="n"/>
      <c r="U473" s="16" t="n"/>
      <c r="V473" s="16" t="n"/>
      <c r="W473" s="16" t="n"/>
      <c r="X473" s="16" t="n"/>
      <c r="Y473" s="16" t="n"/>
      <c r="Z473" s="16" t="n"/>
      <c r="AA473" s="16" t="n"/>
    </row>
    <row r="474">
      <c r="A474" s="16" t="n"/>
      <c r="B474" s="16" t="n"/>
      <c r="C474" s="16" t="n"/>
      <c r="D474" s="16" t="n"/>
      <c r="E474" s="16" t="n"/>
      <c r="F474" s="16" t="n"/>
      <c r="G474" s="16" t="n"/>
      <c r="H474" s="16" t="n"/>
      <c r="I474" s="16" t="n"/>
      <c r="J474" s="16" t="n"/>
      <c r="K474" s="16" t="n"/>
      <c r="L474" s="16" t="n"/>
      <c r="M474" s="16" t="n"/>
      <c r="N474" s="16" t="n"/>
      <c r="O474" s="16" t="n"/>
      <c r="P474" s="16" t="n"/>
      <c r="Q474" s="16" t="n"/>
      <c r="R474" s="16" t="n"/>
      <c r="S474" s="16" t="n"/>
      <c r="T474" s="16" t="n"/>
      <c r="U474" s="16" t="n"/>
      <c r="V474" s="16" t="n"/>
      <c r="W474" s="16" t="n"/>
      <c r="X474" s="16" t="n"/>
      <c r="Y474" s="16" t="n"/>
      <c r="Z474" s="16" t="n"/>
      <c r="AA474" s="16" t="n"/>
    </row>
    <row r="475">
      <c r="A475" s="16" t="n"/>
      <c r="B475" s="16" t="n"/>
      <c r="C475" s="16" t="n"/>
      <c r="D475" s="16" t="n"/>
      <c r="E475" s="16" t="n"/>
      <c r="F475" s="16" t="n"/>
      <c r="G475" s="16" t="n"/>
      <c r="H475" s="16" t="n"/>
      <c r="I475" s="16" t="n"/>
      <c r="J475" s="16" t="n"/>
      <c r="K475" s="16" t="n"/>
      <c r="L475" s="16" t="n"/>
      <c r="M475" s="16" t="n"/>
      <c r="N475" s="16" t="n"/>
      <c r="O475" s="16" t="n"/>
      <c r="P475" s="16" t="n"/>
      <c r="Q475" s="16" t="n"/>
      <c r="R475" s="16" t="n"/>
      <c r="S475" s="16" t="n"/>
      <c r="T475" s="16" t="n"/>
      <c r="U475" s="16" t="n"/>
      <c r="V475" s="16" t="n"/>
      <c r="W475" s="16" t="n"/>
      <c r="X475" s="16" t="n"/>
      <c r="Y475" s="16" t="n"/>
      <c r="Z475" s="16" t="n"/>
      <c r="AA475" s="16" t="n"/>
    </row>
    <row r="476">
      <c r="A476" s="16" t="n"/>
      <c r="B476" s="16" t="n"/>
      <c r="C476" s="16" t="n"/>
      <c r="D476" s="16" t="n"/>
      <c r="E476" s="16" t="n"/>
      <c r="F476" s="16" t="n"/>
      <c r="G476" s="16" t="n"/>
      <c r="H476" s="16" t="n"/>
      <c r="I476" s="16" t="n"/>
      <c r="J476" s="16" t="n"/>
      <c r="K476" s="16" t="n"/>
      <c r="L476" s="16" t="n"/>
      <c r="M476" s="16" t="n"/>
      <c r="N476" s="16" t="n"/>
      <c r="O476" s="16" t="n"/>
      <c r="P476" s="16" t="n"/>
      <c r="Q476" s="16" t="n"/>
      <c r="R476" s="16" t="n"/>
      <c r="S476" s="16" t="n"/>
      <c r="T476" s="16" t="n"/>
      <c r="U476" s="16" t="n"/>
      <c r="V476" s="16" t="n"/>
      <c r="W476" s="16" t="n"/>
      <c r="X476" s="16" t="n"/>
      <c r="Y476" s="16" t="n"/>
      <c r="Z476" s="16" t="n"/>
      <c r="AA476" s="16" t="n"/>
    </row>
    <row r="477">
      <c r="A477" s="16" t="n"/>
      <c r="B477" s="16" t="n"/>
      <c r="C477" s="16" t="n"/>
      <c r="D477" s="16" t="n"/>
      <c r="E477" s="16" t="n"/>
      <c r="F477" s="16" t="n"/>
      <c r="G477" s="16" t="n"/>
      <c r="H477" s="16" t="n"/>
      <c r="I477" s="16" t="n"/>
      <c r="J477" s="16" t="n"/>
      <c r="K477" s="16" t="n"/>
      <c r="L477" s="16" t="n"/>
      <c r="M477" s="16" t="n"/>
      <c r="N477" s="16" t="n"/>
      <c r="O477" s="16" t="n"/>
      <c r="P477" s="16" t="n"/>
      <c r="Q477" s="16" t="n"/>
      <c r="R477" s="16" t="n"/>
      <c r="S477" s="16" t="n"/>
      <c r="T477" s="16" t="n"/>
      <c r="U477" s="16" t="n"/>
      <c r="V477" s="16" t="n"/>
      <c r="W477" s="16" t="n"/>
      <c r="X477" s="16" t="n"/>
      <c r="Y477" s="16" t="n"/>
      <c r="Z477" s="16" t="n"/>
      <c r="AA477" s="16" t="n"/>
    </row>
    <row r="478">
      <c r="A478" s="16" t="n"/>
      <c r="B478" s="16" t="n"/>
      <c r="C478" s="16" t="n"/>
      <c r="D478" s="16" t="n"/>
      <c r="E478" s="16" t="n"/>
      <c r="F478" s="16" t="n"/>
      <c r="G478" s="16" t="n"/>
      <c r="H478" s="16" t="n"/>
      <c r="I478" s="16" t="n"/>
      <c r="J478" s="16" t="n"/>
      <c r="K478" s="16" t="n"/>
      <c r="L478" s="16" t="n"/>
      <c r="M478" s="16" t="n"/>
      <c r="N478" s="16" t="n"/>
      <c r="O478" s="16" t="n"/>
      <c r="P478" s="16" t="n"/>
      <c r="Q478" s="16" t="n"/>
      <c r="R478" s="16" t="n"/>
      <c r="S478" s="16" t="n"/>
      <c r="T478" s="16" t="n"/>
      <c r="U478" s="16" t="n"/>
      <c r="V478" s="16" t="n"/>
      <c r="W478" s="16" t="n"/>
      <c r="X478" s="16" t="n"/>
      <c r="Y478" s="16" t="n"/>
      <c r="Z478" s="16" t="n"/>
      <c r="AA478" s="16" t="n"/>
    </row>
    <row r="479">
      <c r="A479" s="16" t="n"/>
      <c r="B479" s="16" t="n"/>
      <c r="C479" s="16" t="n"/>
      <c r="D479" s="16" t="n"/>
      <c r="E479" s="16" t="n"/>
      <c r="F479" s="16" t="n"/>
      <c r="G479" s="16" t="n"/>
      <c r="H479" s="16" t="n"/>
      <c r="I479" s="16" t="n"/>
      <c r="J479" s="16" t="n"/>
      <c r="K479" s="16" t="n"/>
      <c r="L479" s="16" t="n"/>
      <c r="M479" s="16" t="n"/>
      <c r="N479" s="16" t="n"/>
      <c r="O479" s="16" t="n"/>
      <c r="P479" s="16" t="n"/>
      <c r="Q479" s="16" t="n"/>
      <c r="R479" s="16" t="n"/>
      <c r="S479" s="16" t="n"/>
      <c r="T479" s="16" t="n"/>
      <c r="U479" s="16" t="n"/>
      <c r="V479" s="16" t="n"/>
      <c r="W479" s="16" t="n"/>
      <c r="X479" s="16" t="n"/>
      <c r="Y479" s="16" t="n"/>
      <c r="Z479" s="16" t="n"/>
      <c r="AA479" s="16" t="n"/>
    </row>
    <row r="480">
      <c r="A480" s="16" t="n"/>
      <c r="B480" s="16" t="n"/>
      <c r="C480" s="16" t="n"/>
      <c r="D480" s="16" t="n"/>
      <c r="E480" s="16" t="n"/>
      <c r="F480" s="16" t="n"/>
      <c r="G480" s="16" t="n"/>
      <c r="H480" s="16" t="n"/>
      <c r="I480" s="16" t="n"/>
      <c r="J480" s="16" t="n"/>
      <c r="K480" s="16" t="n"/>
      <c r="L480" s="16" t="n"/>
      <c r="M480" s="16" t="n"/>
      <c r="N480" s="16" t="n"/>
      <c r="O480" s="16" t="n"/>
      <c r="P480" s="16" t="n"/>
      <c r="Q480" s="16" t="n"/>
      <c r="R480" s="16" t="n"/>
      <c r="S480" s="16" t="n"/>
      <c r="T480" s="16" t="n"/>
      <c r="U480" s="16" t="n"/>
      <c r="V480" s="16" t="n"/>
      <c r="W480" s="16" t="n"/>
      <c r="X480" s="16" t="n"/>
      <c r="Y480" s="16" t="n"/>
      <c r="Z480" s="16" t="n"/>
      <c r="AA480" s="16" t="n"/>
    </row>
    <row r="481">
      <c r="A481" s="16" t="n"/>
      <c r="B481" s="16" t="n"/>
      <c r="C481" s="16" t="n"/>
      <c r="D481" s="16" t="n"/>
      <c r="E481" s="16" t="n"/>
      <c r="F481" s="16" t="n"/>
      <c r="G481" s="16" t="n"/>
      <c r="H481" s="16" t="n"/>
      <c r="I481" s="16" t="n"/>
      <c r="J481" s="16" t="n"/>
      <c r="K481" s="16" t="n"/>
      <c r="L481" s="16" t="n"/>
      <c r="M481" s="16" t="n"/>
      <c r="N481" s="16" t="n"/>
      <c r="O481" s="16" t="n"/>
      <c r="P481" s="16" t="n"/>
      <c r="Q481" s="16" t="n"/>
      <c r="R481" s="16" t="n"/>
      <c r="S481" s="16" t="n"/>
      <c r="T481" s="16" t="n"/>
      <c r="U481" s="16" t="n"/>
      <c r="V481" s="16" t="n"/>
      <c r="W481" s="16" t="n"/>
      <c r="X481" s="16" t="n"/>
      <c r="Y481" s="16" t="n"/>
      <c r="Z481" s="16" t="n"/>
      <c r="AA481" s="16" t="n"/>
    </row>
    <row r="482">
      <c r="A482" s="16" t="n"/>
      <c r="B482" s="16" t="n"/>
      <c r="C482" s="16" t="n"/>
      <c r="D482" s="16" t="n"/>
      <c r="E482" s="16" t="n"/>
      <c r="F482" s="16" t="n"/>
      <c r="G482" s="16" t="n"/>
      <c r="H482" s="16" t="n"/>
      <c r="I482" s="16" t="n"/>
      <c r="J482" s="16" t="n"/>
      <c r="K482" s="16" t="n"/>
      <c r="L482" s="16" t="n"/>
      <c r="M482" s="16" t="n"/>
      <c r="N482" s="16" t="n"/>
      <c r="O482" s="16" t="n"/>
      <c r="P482" s="16" t="n"/>
      <c r="Q482" s="16" t="n"/>
      <c r="R482" s="16" t="n"/>
      <c r="S482" s="16" t="n"/>
      <c r="T482" s="16" t="n"/>
      <c r="U482" s="16" t="n"/>
      <c r="V482" s="16" t="n"/>
      <c r="W482" s="16" t="n"/>
      <c r="X482" s="16" t="n"/>
      <c r="Y482" s="16" t="n"/>
      <c r="Z482" s="16" t="n"/>
      <c r="AA482" s="16" t="n"/>
    </row>
    <row r="483">
      <c r="A483" s="16" t="n"/>
      <c r="B483" s="16" t="n"/>
      <c r="C483" s="16" t="n"/>
      <c r="D483" s="16" t="n"/>
      <c r="E483" s="16" t="n"/>
      <c r="F483" s="16" t="n"/>
      <c r="G483" s="16" t="n"/>
      <c r="H483" s="16" t="n"/>
      <c r="I483" s="16" t="n"/>
      <c r="J483" s="16" t="n"/>
      <c r="K483" s="16" t="n"/>
      <c r="L483" s="16" t="n"/>
      <c r="M483" s="16" t="n"/>
      <c r="N483" s="16" t="n"/>
      <c r="O483" s="16" t="n"/>
      <c r="P483" s="16" t="n"/>
      <c r="Q483" s="16" t="n"/>
      <c r="R483" s="16" t="n"/>
      <c r="S483" s="16" t="n"/>
      <c r="T483" s="16" t="n"/>
      <c r="U483" s="16" t="n"/>
      <c r="V483" s="16" t="n"/>
      <c r="W483" s="16" t="n"/>
      <c r="X483" s="16" t="n"/>
      <c r="Y483" s="16" t="n"/>
      <c r="Z483" s="16" t="n"/>
      <c r="AA483" s="16" t="n"/>
    </row>
    <row r="484">
      <c r="A484" s="16" t="n"/>
      <c r="B484" s="16" t="n"/>
      <c r="C484" s="16" t="n"/>
      <c r="D484" s="16" t="n"/>
      <c r="E484" s="16" t="n"/>
      <c r="F484" s="16" t="n"/>
      <c r="G484" s="16" t="n"/>
      <c r="H484" s="16" t="n"/>
      <c r="I484" s="16" t="n"/>
      <c r="J484" s="16" t="n"/>
      <c r="K484" s="16" t="n"/>
      <c r="L484" s="16" t="n"/>
      <c r="M484" s="16" t="n"/>
      <c r="N484" s="16" t="n"/>
      <c r="O484" s="16" t="n"/>
      <c r="P484" s="16" t="n"/>
      <c r="Q484" s="16" t="n"/>
      <c r="R484" s="16" t="n"/>
      <c r="S484" s="16" t="n"/>
      <c r="T484" s="16" t="n"/>
      <c r="U484" s="16" t="n"/>
      <c r="V484" s="16" t="n"/>
      <c r="W484" s="16" t="n"/>
      <c r="X484" s="16" t="n"/>
      <c r="Y484" s="16" t="n"/>
      <c r="Z484" s="16" t="n"/>
      <c r="AA484" s="16" t="n"/>
    </row>
    <row r="485">
      <c r="A485" s="16" t="n"/>
      <c r="B485" s="16" t="n"/>
      <c r="C485" s="16" t="n"/>
      <c r="D485" s="16" t="n"/>
      <c r="E485" s="16" t="n"/>
      <c r="F485" s="16" t="n"/>
      <c r="G485" s="16" t="n"/>
      <c r="H485" s="16" t="n"/>
      <c r="I485" s="16" t="n"/>
      <c r="J485" s="16" t="n"/>
      <c r="K485" s="16" t="n"/>
      <c r="L485" s="16" t="n"/>
      <c r="M485" s="16" t="n"/>
      <c r="N485" s="16" t="n"/>
      <c r="O485" s="16" t="n"/>
      <c r="P485" s="16" t="n"/>
      <c r="Q485" s="16" t="n"/>
      <c r="R485" s="16" t="n"/>
      <c r="S485" s="16" t="n"/>
      <c r="T485" s="16" t="n"/>
      <c r="U485" s="16" t="n"/>
      <c r="V485" s="16" t="n"/>
      <c r="W485" s="16" t="n"/>
      <c r="X485" s="16" t="n"/>
      <c r="Y485" s="16" t="n"/>
      <c r="Z485" s="16" t="n"/>
      <c r="AA485" s="16" t="n"/>
    </row>
    <row r="486">
      <c r="A486" s="16" t="n"/>
      <c r="B486" s="16" t="n"/>
      <c r="C486" s="16" t="n"/>
      <c r="D486" s="16" t="n"/>
      <c r="E486" s="16" t="n"/>
      <c r="F486" s="16" t="n"/>
      <c r="G486" s="16" t="n"/>
      <c r="H486" s="16" t="n"/>
      <c r="I486" s="16" t="n"/>
      <c r="J486" s="16" t="n"/>
      <c r="K486" s="16" t="n"/>
      <c r="L486" s="16" t="n"/>
      <c r="M486" s="16" t="n"/>
      <c r="N486" s="16" t="n"/>
      <c r="O486" s="16" t="n"/>
      <c r="P486" s="16" t="n"/>
      <c r="Q486" s="16" t="n"/>
      <c r="R486" s="16" t="n"/>
      <c r="S486" s="16" t="n"/>
      <c r="T486" s="16" t="n"/>
      <c r="U486" s="16" t="n"/>
      <c r="V486" s="16" t="n"/>
      <c r="W486" s="16" t="n"/>
      <c r="X486" s="16" t="n"/>
      <c r="Y486" s="16" t="n"/>
      <c r="Z486" s="16" t="n"/>
      <c r="AA486" s="16" t="n"/>
    </row>
    <row r="487">
      <c r="A487" s="16" t="n"/>
      <c r="B487" s="16" t="n"/>
      <c r="C487" s="16" t="n"/>
      <c r="D487" s="16" t="n"/>
      <c r="E487" s="16" t="n"/>
      <c r="F487" s="16" t="n"/>
      <c r="G487" s="16" t="n"/>
      <c r="H487" s="16" t="n"/>
      <c r="I487" s="16" t="n"/>
      <c r="J487" s="16" t="n"/>
      <c r="K487" s="16" t="n"/>
      <c r="L487" s="16" t="n"/>
      <c r="M487" s="16" t="n"/>
      <c r="N487" s="16" t="n"/>
      <c r="O487" s="16" t="n"/>
      <c r="P487" s="16" t="n"/>
      <c r="Q487" s="16" t="n"/>
      <c r="R487" s="16" t="n"/>
      <c r="S487" s="16" t="n"/>
      <c r="T487" s="16" t="n"/>
      <c r="U487" s="16" t="n"/>
      <c r="V487" s="16" t="n"/>
      <c r="W487" s="16" t="n"/>
      <c r="X487" s="16" t="n"/>
      <c r="Y487" s="16" t="n"/>
      <c r="Z487" s="16" t="n"/>
      <c r="AA487" s="16" t="n"/>
    </row>
    <row r="488">
      <c r="A488" s="16" t="n"/>
      <c r="B488" s="16" t="n"/>
      <c r="C488" s="16" t="n"/>
      <c r="D488" s="16" t="n"/>
      <c r="E488" s="16" t="n"/>
      <c r="F488" s="16" t="n"/>
      <c r="G488" s="16" t="n"/>
      <c r="H488" s="16" t="n"/>
      <c r="I488" s="16" t="n"/>
      <c r="J488" s="16" t="n"/>
      <c r="K488" s="16" t="n"/>
      <c r="L488" s="16" t="n"/>
      <c r="M488" s="16" t="n"/>
      <c r="N488" s="16" t="n"/>
      <c r="O488" s="16" t="n"/>
      <c r="P488" s="16" t="n"/>
      <c r="Q488" s="16" t="n"/>
      <c r="R488" s="16" t="n"/>
      <c r="S488" s="16" t="n"/>
      <c r="T488" s="16" t="n"/>
      <c r="U488" s="16" t="n"/>
      <c r="V488" s="16" t="n"/>
      <c r="W488" s="16" t="n"/>
      <c r="X488" s="16" t="n"/>
      <c r="Y488" s="16" t="n"/>
      <c r="Z488" s="16" t="n"/>
      <c r="AA488" s="16" t="n"/>
    </row>
    <row r="489">
      <c r="A489" s="16" t="n"/>
      <c r="B489" s="16" t="n"/>
      <c r="C489" s="16" t="n"/>
      <c r="D489" s="16" t="n"/>
      <c r="E489" s="16" t="n"/>
      <c r="F489" s="16" t="n"/>
      <c r="G489" s="16" t="n"/>
      <c r="H489" s="16" t="n"/>
      <c r="I489" s="16" t="n"/>
      <c r="J489" s="16" t="n"/>
      <c r="K489" s="16" t="n"/>
      <c r="L489" s="16" t="n"/>
      <c r="M489" s="16" t="n"/>
      <c r="N489" s="16" t="n"/>
      <c r="O489" s="16" t="n"/>
      <c r="P489" s="16" t="n"/>
      <c r="Q489" s="16" t="n"/>
      <c r="R489" s="16" t="n"/>
      <c r="S489" s="16" t="n"/>
      <c r="T489" s="16" t="n"/>
      <c r="U489" s="16" t="n"/>
      <c r="V489" s="16" t="n"/>
      <c r="W489" s="16" t="n"/>
      <c r="X489" s="16" t="n"/>
      <c r="Y489" s="16" t="n"/>
      <c r="Z489" s="16" t="n"/>
      <c r="AA489" s="16" t="n"/>
    </row>
    <row r="490">
      <c r="A490" s="16" t="n"/>
      <c r="B490" s="16" t="n"/>
      <c r="C490" s="16" t="n"/>
      <c r="D490" s="16" t="n"/>
      <c r="E490" s="16" t="n"/>
      <c r="F490" s="16" t="n"/>
      <c r="G490" s="16" t="n"/>
      <c r="H490" s="16" t="n"/>
      <c r="I490" s="16" t="n"/>
      <c r="J490" s="16" t="n"/>
      <c r="K490" s="16" t="n"/>
      <c r="L490" s="16" t="n"/>
      <c r="M490" s="16" t="n"/>
      <c r="N490" s="16" t="n"/>
      <c r="O490" s="16" t="n"/>
      <c r="P490" s="16" t="n"/>
      <c r="Q490" s="16" t="n"/>
      <c r="R490" s="16" t="n"/>
      <c r="S490" s="16" t="n"/>
      <c r="T490" s="16" t="n"/>
      <c r="U490" s="16" t="n"/>
      <c r="V490" s="16" t="n"/>
      <c r="W490" s="16" t="n"/>
      <c r="X490" s="16" t="n"/>
      <c r="Y490" s="16" t="n"/>
      <c r="Z490" s="16" t="n"/>
      <c r="AA490" s="16" t="n"/>
    </row>
    <row r="491">
      <c r="A491" s="16" t="n"/>
      <c r="B491" s="16" t="n"/>
      <c r="C491" s="16" t="n"/>
      <c r="D491" s="16" t="n"/>
      <c r="E491" s="16" t="n"/>
      <c r="F491" s="16" t="n"/>
      <c r="G491" s="16" t="n"/>
      <c r="H491" s="16" t="n"/>
      <c r="I491" s="16" t="n"/>
      <c r="J491" s="16" t="n"/>
      <c r="K491" s="16" t="n"/>
      <c r="L491" s="16" t="n"/>
      <c r="M491" s="16" t="n"/>
      <c r="N491" s="16" t="n"/>
      <c r="O491" s="16" t="n"/>
      <c r="P491" s="16" t="n"/>
      <c r="Q491" s="16" t="n"/>
      <c r="R491" s="16" t="n"/>
      <c r="S491" s="16" t="n"/>
      <c r="T491" s="16" t="n"/>
      <c r="U491" s="16" t="n"/>
      <c r="V491" s="16" t="n"/>
      <c r="W491" s="16" t="n"/>
      <c r="X491" s="16" t="n"/>
      <c r="Y491" s="16" t="n"/>
      <c r="Z491" s="16" t="n"/>
      <c r="AA491" s="16" t="n"/>
    </row>
    <row r="492">
      <c r="A492" s="16" t="n"/>
      <c r="B492" s="16" t="n"/>
      <c r="C492" s="16" t="n"/>
      <c r="D492" s="16" t="n"/>
      <c r="E492" s="16" t="n"/>
      <c r="F492" s="16" t="n"/>
      <c r="G492" s="16" t="n"/>
      <c r="H492" s="16" t="n"/>
      <c r="I492" s="16" t="n"/>
      <c r="J492" s="16" t="n"/>
      <c r="K492" s="16" t="n"/>
      <c r="L492" s="16" t="n"/>
      <c r="M492" s="16" t="n"/>
      <c r="N492" s="16" t="n"/>
      <c r="O492" s="16" t="n"/>
      <c r="P492" s="16" t="n"/>
      <c r="Q492" s="16" t="n"/>
      <c r="R492" s="16" t="n"/>
      <c r="S492" s="16" t="n"/>
      <c r="T492" s="16" t="n"/>
      <c r="U492" s="16" t="n"/>
      <c r="V492" s="16" t="n"/>
      <c r="W492" s="16" t="n"/>
      <c r="X492" s="16" t="n"/>
      <c r="Y492" s="16" t="n"/>
      <c r="Z492" s="16" t="n"/>
      <c r="AA492" s="16" t="n"/>
    </row>
    <row r="493">
      <c r="A493" s="16" t="n"/>
      <c r="B493" s="16" t="n"/>
      <c r="C493" s="16" t="n"/>
      <c r="D493" s="16" t="n"/>
      <c r="E493" s="16" t="n"/>
      <c r="F493" s="16" t="n"/>
      <c r="G493" s="16" t="n"/>
      <c r="H493" s="16" t="n"/>
      <c r="I493" s="16" t="n"/>
      <c r="J493" s="16" t="n"/>
      <c r="K493" s="16" t="n"/>
      <c r="L493" s="16" t="n"/>
      <c r="M493" s="16" t="n"/>
      <c r="N493" s="16" t="n"/>
      <c r="O493" s="16" t="n"/>
      <c r="P493" s="16" t="n"/>
      <c r="Q493" s="16" t="n"/>
      <c r="R493" s="16" t="n"/>
      <c r="S493" s="16" t="n"/>
      <c r="T493" s="16" t="n"/>
      <c r="U493" s="16" t="n"/>
      <c r="V493" s="16" t="n"/>
      <c r="W493" s="16" t="n"/>
      <c r="X493" s="16" t="n"/>
      <c r="Y493" s="16" t="n"/>
      <c r="Z493" s="16" t="n"/>
      <c r="AA493" s="16" t="n"/>
    </row>
    <row r="494">
      <c r="A494" s="16" t="n"/>
      <c r="B494" s="16" t="n"/>
      <c r="C494" s="16" t="n"/>
      <c r="D494" s="16" t="n"/>
      <c r="E494" s="16" t="n"/>
      <c r="F494" s="16" t="n"/>
      <c r="G494" s="16" t="n"/>
      <c r="H494" s="16" t="n"/>
      <c r="I494" s="16" t="n"/>
      <c r="J494" s="16" t="n"/>
      <c r="K494" s="16" t="n"/>
      <c r="L494" s="16" t="n"/>
      <c r="M494" s="16" t="n"/>
      <c r="N494" s="16" t="n"/>
      <c r="O494" s="16" t="n"/>
      <c r="P494" s="16" t="n"/>
      <c r="Q494" s="16" t="n"/>
      <c r="R494" s="16" t="n"/>
      <c r="S494" s="16" t="n"/>
      <c r="T494" s="16" t="n"/>
      <c r="U494" s="16" t="n"/>
      <c r="V494" s="16" t="n"/>
      <c r="W494" s="16" t="n"/>
      <c r="X494" s="16" t="n"/>
      <c r="Y494" s="16" t="n"/>
      <c r="Z494" s="16" t="n"/>
      <c r="AA494" s="16" t="n"/>
    </row>
    <row r="495">
      <c r="A495" s="16" t="n"/>
      <c r="B495" s="16" t="n"/>
      <c r="C495" s="16" t="n"/>
      <c r="D495" s="16" t="n"/>
      <c r="E495" s="16" t="n"/>
      <c r="F495" s="16" t="n"/>
      <c r="G495" s="16" t="n"/>
      <c r="H495" s="16" t="n"/>
      <c r="I495" s="16" t="n"/>
      <c r="J495" s="16" t="n"/>
      <c r="K495" s="16" t="n"/>
      <c r="L495" s="16" t="n"/>
      <c r="M495" s="16" t="n"/>
      <c r="N495" s="16" t="n"/>
      <c r="O495" s="16" t="n"/>
      <c r="P495" s="16" t="n"/>
      <c r="Q495" s="16" t="n"/>
      <c r="R495" s="16" t="n"/>
      <c r="S495" s="16" t="n"/>
      <c r="T495" s="16" t="n"/>
      <c r="U495" s="16" t="n"/>
      <c r="V495" s="16" t="n"/>
      <c r="W495" s="16" t="n"/>
      <c r="X495" s="16" t="n"/>
      <c r="Y495" s="16" t="n"/>
      <c r="Z495" s="16" t="n"/>
      <c r="AA495" s="16" t="n"/>
    </row>
    <row r="496">
      <c r="A496" s="16" t="n"/>
      <c r="B496" s="16" t="n"/>
      <c r="C496" s="16" t="n"/>
      <c r="D496" s="16" t="n"/>
      <c r="E496" s="16" t="n"/>
      <c r="F496" s="16" t="n"/>
      <c r="G496" s="16" t="n"/>
      <c r="H496" s="16" t="n"/>
      <c r="I496" s="16" t="n"/>
      <c r="J496" s="16" t="n"/>
      <c r="K496" s="16" t="n"/>
      <c r="L496" s="16" t="n"/>
      <c r="M496" s="16" t="n"/>
      <c r="N496" s="16" t="n"/>
      <c r="O496" s="16" t="n"/>
      <c r="P496" s="16" t="n"/>
      <c r="Q496" s="16" t="n"/>
      <c r="R496" s="16" t="n"/>
      <c r="S496" s="16" t="n"/>
      <c r="T496" s="16" t="n"/>
      <c r="U496" s="16" t="n"/>
      <c r="V496" s="16" t="n"/>
      <c r="W496" s="16" t="n"/>
      <c r="X496" s="16" t="n"/>
      <c r="Y496" s="16" t="n"/>
      <c r="Z496" s="16" t="n"/>
      <c r="AA496" s="16" t="n"/>
    </row>
    <row r="497">
      <c r="A497" s="16" t="n"/>
      <c r="B497" s="16" t="n"/>
      <c r="C497" s="16" t="n"/>
      <c r="D497" s="16" t="n"/>
      <c r="E497" s="16" t="n"/>
      <c r="F497" s="16" t="n"/>
      <c r="G497" s="16" t="n"/>
      <c r="H497" s="16" t="n"/>
      <c r="I497" s="16" t="n"/>
      <c r="J497" s="16" t="n"/>
      <c r="K497" s="16" t="n"/>
      <c r="L497" s="16" t="n"/>
      <c r="M497" s="16" t="n"/>
      <c r="N497" s="16" t="n"/>
      <c r="O497" s="16" t="n"/>
      <c r="P497" s="16" t="n"/>
      <c r="Q497" s="16" t="n"/>
      <c r="R497" s="16" t="n"/>
      <c r="S497" s="16" t="n"/>
      <c r="T497" s="16" t="n"/>
      <c r="U497" s="16" t="n"/>
      <c r="V497" s="16" t="n"/>
      <c r="W497" s="16" t="n"/>
      <c r="X497" s="16" t="n"/>
      <c r="Y497" s="16" t="n"/>
      <c r="Z497" s="16" t="n"/>
      <c r="AA497" s="16" t="n"/>
    </row>
    <row r="498">
      <c r="A498" s="16" t="n"/>
      <c r="B498" s="16" t="n"/>
      <c r="C498" s="16" t="n"/>
      <c r="D498" s="16" t="n"/>
      <c r="E498" s="16" t="n"/>
      <c r="F498" s="16" t="n"/>
      <c r="G498" s="16" t="n"/>
      <c r="H498" s="16" t="n"/>
      <c r="I498" s="16" t="n"/>
      <c r="J498" s="16" t="n"/>
      <c r="K498" s="16" t="n"/>
      <c r="L498" s="16" t="n"/>
      <c r="M498" s="16" t="n"/>
      <c r="N498" s="16" t="n"/>
      <c r="O498" s="16" t="n"/>
      <c r="P498" s="16" t="n"/>
      <c r="Q498" s="16" t="n"/>
      <c r="R498" s="16" t="n"/>
      <c r="S498" s="16" t="n"/>
      <c r="T498" s="16" t="n"/>
      <c r="U498" s="16" t="n"/>
      <c r="V498" s="16" t="n"/>
      <c r="W498" s="16" t="n"/>
      <c r="X498" s="16" t="n"/>
      <c r="Y498" s="16" t="n"/>
      <c r="Z498" s="16" t="n"/>
      <c r="AA498" s="16" t="n"/>
    </row>
    <row r="499">
      <c r="A499" s="16" t="n"/>
      <c r="B499" s="16" t="n"/>
      <c r="C499" s="16" t="n"/>
      <c r="D499" s="16" t="n"/>
      <c r="E499" s="16" t="n"/>
      <c r="F499" s="16" t="n"/>
      <c r="G499" s="16" t="n"/>
      <c r="H499" s="16" t="n"/>
      <c r="I499" s="16" t="n"/>
      <c r="J499" s="16" t="n"/>
      <c r="K499" s="16" t="n"/>
      <c r="L499" s="16" t="n"/>
      <c r="M499" s="16" t="n"/>
      <c r="N499" s="16" t="n"/>
      <c r="O499" s="16" t="n"/>
      <c r="P499" s="16" t="n"/>
      <c r="Q499" s="16" t="n"/>
      <c r="R499" s="16" t="n"/>
      <c r="S499" s="16" t="n"/>
      <c r="T499" s="16" t="n"/>
      <c r="U499" s="16" t="n"/>
      <c r="V499" s="16" t="n"/>
      <c r="W499" s="16" t="n"/>
      <c r="X499" s="16" t="n"/>
      <c r="Y499" s="16" t="n"/>
      <c r="Z499" s="16" t="n"/>
      <c r="AA499" s="16" t="n"/>
    </row>
    <row r="500">
      <c r="A500" s="16" t="n"/>
      <c r="B500" s="16" t="n"/>
      <c r="C500" s="16" t="n"/>
      <c r="D500" s="16" t="n"/>
      <c r="E500" s="16" t="n"/>
      <c r="F500" s="16" t="n"/>
      <c r="G500" s="16" t="n"/>
      <c r="H500" s="16" t="n"/>
      <c r="I500" s="16" t="n"/>
      <c r="J500" s="16" t="n"/>
      <c r="K500" s="16" t="n"/>
      <c r="L500" s="16" t="n"/>
      <c r="M500" s="16" t="n"/>
      <c r="N500" s="16" t="n"/>
      <c r="O500" s="16" t="n"/>
      <c r="P500" s="16" t="n"/>
      <c r="Q500" s="16" t="n"/>
      <c r="R500" s="16" t="n"/>
      <c r="S500" s="16" t="n"/>
      <c r="T500" s="16" t="n"/>
      <c r="U500" s="16" t="n"/>
      <c r="V500" s="16" t="n"/>
      <c r="W500" s="16" t="n"/>
      <c r="X500" s="16" t="n"/>
      <c r="Y500" s="16" t="n"/>
      <c r="Z500" s="16" t="n"/>
      <c r="AA500" s="16" t="n"/>
    </row>
    <row r="501">
      <c r="A501" s="16" t="n"/>
      <c r="B501" s="16" t="n"/>
      <c r="C501" s="16" t="n"/>
      <c r="D501" s="16" t="n"/>
      <c r="E501" s="16" t="n"/>
      <c r="F501" s="16" t="n"/>
      <c r="G501" s="16" t="n"/>
      <c r="H501" s="16" t="n"/>
      <c r="I501" s="16" t="n"/>
      <c r="J501" s="16" t="n"/>
      <c r="K501" s="16" t="n"/>
      <c r="L501" s="16" t="n"/>
      <c r="M501" s="16" t="n"/>
      <c r="N501" s="16" t="n"/>
      <c r="O501" s="16" t="n"/>
      <c r="P501" s="16" t="n"/>
      <c r="Q501" s="16" t="n"/>
      <c r="R501" s="16" t="n"/>
      <c r="S501" s="16" t="n"/>
      <c r="T501" s="16" t="n"/>
      <c r="U501" s="16" t="n"/>
      <c r="V501" s="16" t="n"/>
      <c r="W501" s="16" t="n"/>
      <c r="X501" s="16" t="n"/>
      <c r="Y501" s="16" t="n"/>
      <c r="Z501" s="16" t="n"/>
      <c r="AA501" s="16" t="n"/>
    </row>
    <row r="502">
      <c r="A502" s="16" t="n"/>
      <c r="B502" s="16" t="n"/>
      <c r="C502" s="16" t="n"/>
      <c r="D502" s="16" t="n"/>
      <c r="E502" s="16" t="n"/>
      <c r="F502" s="16" t="n"/>
      <c r="G502" s="16" t="n"/>
      <c r="H502" s="16" t="n"/>
      <c r="I502" s="16" t="n"/>
      <c r="J502" s="16" t="n"/>
      <c r="K502" s="16" t="n"/>
      <c r="L502" s="16" t="n"/>
      <c r="M502" s="16" t="n"/>
      <c r="N502" s="16" t="n"/>
      <c r="O502" s="16" t="n"/>
      <c r="P502" s="16" t="n"/>
      <c r="Q502" s="16" t="n"/>
      <c r="R502" s="16" t="n"/>
      <c r="S502" s="16" t="n"/>
      <c r="T502" s="16" t="n"/>
      <c r="U502" s="16" t="n"/>
      <c r="V502" s="16" t="n"/>
      <c r="W502" s="16" t="n"/>
      <c r="X502" s="16" t="n"/>
      <c r="Y502" s="16" t="n"/>
      <c r="Z502" s="16" t="n"/>
      <c r="AA502" s="16" t="n"/>
    </row>
    <row r="503">
      <c r="A503" s="16" t="n"/>
      <c r="B503" s="16" t="n"/>
      <c r="C503" s="16" t="n"/>
      <c r="D503" s="16" t="n"/>
      <c r="E503" s="16" t="n"/>
      <c r="F503" s="16" t="n"/>
      <c r="G503" s="16" t="n"/>
      <c r="H503" s="16" t="n"/>
      <c r="I503" s="16" t="n"/>
      <c r="J503" s="16" t="n"/>
      <c r="K503" s="16" t="n"/>
      <c r="L503" s="16" t="n"/>
      <c r="M503" s="16" t="n"/>
      <c r="N503" s="16" t="n"/>
      <c r="O503" s="16" t="n"/>
      <c r="P503" s="16" t="n"/>
      <c r="Q503" s="16" t="n"/>
      <c r="R503" s="16" t="n"/>
      <c r="S503" s="16" t="n"/>
      <c r="T503" s="16" t="n"/>
      <c r="U503" s="16" t="n"/>
      <c r="V503" s="16" t="n"/>
      <c r="W503" s="16" t="n"/>
      <c r="X503" s="16" t="n"/>
      <c r="Y503" s="16" t="n"/>
      <c r="Z503" s="16" t="n"/>
      <c r="AA503" s="16" t="n"/>
    </row>
    <row r="504">
      <c r="A504" s="16" t="n"/>
      <c r="B504" s="16" t="n"/>
      <c r="C504" s="16" t="n"/>
      <c r="D504" s="16" t="n"/>
      <c r="E504" s="16" t="n"/>
      <c r="F504" s="16" t="n"/>
      <c r="G504" s="16" t="n"/>
      <c r="H504" s="16" t="n"/>
      <c r="I504" s="16" t="n"/>
      <c r="J504" s="16" t="n"/>
      <c r="K504" s="16" t="n"/>
      <c r="L504" s="16" t="n"/>
      <c r="M504" s="16" t="n"/>
      <c r="N504" s="16" t="n"/>
      <c r="O504" s="16" t="n"/>
      <c r="P504" s="16" t="n"/>
      <c r="Q504" s="16" t="n"/>
      <c r="R504" s="16" t="n"/>
      <c r="S504" s="16" t="n"/>
      <c r="T504" s="16" t="n"/>
      <c r="U504" s="16" t="n"/>
      <c r="V504" s="16" t="n"/>
      <c r="W504" s="16" t="n"/>
      <c r="X504" s="16" t="n"/>
      <c r="Y504" s="16" t="n"/>
      <c r="Z504" s="16" t="n"/>
      <c r="AA504" s="16" t="n"/>
    </row>
    <row r="505">
      <c r="A505" s="16" t="n"/>
      <c r="B505" s="16" t="n"/>
      <c r="C505" s="16" t="n"/>
      <c r="D505" s="16" t="n"/>
      <c r="E505" s="16" t="n"/>
      <c r="F505" s="16" t="n"/>
      <c r="G505" s="16" t="n"/>
      <c r="H505" s="16" t="n"/>
      <c r="I505" s="16" t="n"/>
      <c r="J505" s="16" t="n"/>
      <c r="K505" s="16" t="n"/>
      <c r="L505" s="16" t="n"/>
      <c r="M505" s="16" t="n"/>
      <c r="N505" s="16" t="n"/>
      <c r="O505" s="16" t="n"/>
      <c r="P505" s="16" t="n"/>
      <c r="Q505" s="16" t="n"/>
      <c r="R505" s="16" t="n"/>
      <c r="S505" s="16" t="n"/>
      <c r="T505" s="16" t="n"/>
      <c r="U505" s="16" t="n"/>
      <c r="V505" s="16" t="n"/>
      <c r="W505" s="16" t="n"/>
      <c r="X505" s="16" t="n"/>
      <c r="Y505" s="16" t="n"/>
      <c r="Z505" s="16" t="n"/>
      <c r="AA505" s="16" t="n"/>
    </row>
    <row r="506">
      <c r="A506" s="16" t="n"/>
      <c r="B506" s="16" t="n"/>
      <c r="C506" s="16" t="n"/>
      <c r="D506" s="16" t="n"/>
      <c r="E506" s="16" t="n"/>
      <c r="F506" s="16" t="n"/>
      <c r="G506" s="16" t="n"/>
      <c r="H506" s="16" t="n"/>
      <c r="I506" s="16" t="n"/>
      <c r="J506" s="16" t="n"/>
      <c r="K506" s="16" t="n"/>
      <c r="L506" s="16" t="n"/>
      <c r="M506" s="16" t="n"/>
      <c r="N506" s="16" t="n"/>
      <c r="O506" s="16" t="n"/>
      <c r="P506" s="16" t="n"/>
      <c r="Q506" s="16" t="n"/>
      <c r="R506" s="16" t="n"/>
      <c r="S506" s="16" t="n"/>
      <c r="T506" s="16" t="n"/>
      <c r="U506" s="16" t="n"/>
      <c r="V506" s="16" t="n"/>
      <c r="W506" s="16" t="n"/>
      <c r="X506" s="16" t="n"/>
      <c r="Y506" s="16" t="n"/>
      <c r="Z506" s="16" t="n"/>
      <c r="AA506" s="16" t="n"/>
    </row>
    <row r="507">
      <c r="A507" s="16" t="n"/>
      <c r="B507" s="16" t="n"/>
      <c r="C507" s="16" t="n"/>
      <c r="D507" s="16" t="n"/>
      <c r="E507" s="16" t="n"/>
      <c r="F507" s="16" t="n"/>
      <c r="G507" s="16" t="n"/>
      <c r="H507" s="16" t="n"/>
      <c r="I507" s="16" t="n"/>
      <c r="J507" s="16" t="n"/>
      <c r="K507" s="16" t="n"/>
      <c r="L507" s="16" t="n"/>
      <c r="M507" s="16" t="n"/>
      <c r="N507" s="16" t="n"/>
      <c r="O507" s="16" t="n"/>
      <c r="P507" s="16" t="n"/>
      <c r="Q507" s="16" t="n"/>
      <c r="R507" s="16" t="n"/>
      <c r="S507" s="16" t="n"/>
      <c r="T507" s="16" t="n"/>
      <c r="U507" s="16" t="n"/>
      <c r="V507" s="16" t="n"/>
      <c r="W507" s="16" t="n"/>
      <c r="X507" s="16" t="n"/>
      <c r="Y507" s="16" t="n"/>
      <c r="Z507" s="16" t="n"/>
      <c r="AA507" s="16" t="n"/>
    </row>
    <row r="508">
      <c r="A508" s="16" t="n"/>
      <c r="B508" s="16" t="n"/>
      <c r="C508" s="16" t="n"/>
      <c r="D508" s="16" t="n"/>
      <c r="E508" s="16" t="n"/>
      <c r="F508" s="16" t="n"/>
      <c r="G508" s="16" t="n"/>
      <c r="H508" s="16" t="n"/>
      <c r="I508" s="16" t="n"/>
      <c r="J508" s="16" t="n"/>
      <c r="K508" s="16" t="n"/>
      <c r="L508" s="16" t="n"/>
      <c r="M508" s="16" t="n"/>
      <c r="N508" s="16" t="n"/>
      <c r="O508" s="16" t="n"/>
      <c r="P508" s="16" t="n"/>
      <c r="Q508" s="16" t="n"/>
      <c r="R508" s="16" t="n"/>
      <c r="S508" s="16" t="n"/>
      <c r="T508" s="16" t="n"/>
      <c r="U508" s="16" t="n"/>
      <c r="V508" s="16" t="n"/>
      <c r="W508" s="16" t="n"/>
      <c r="X508" s="16" t="n"/>
      <c r="Y508" s="16" t="n"/>
      <c r="Z508" s="16" t="n"/>
      <c r="AA508" s="16" t="n"/>
    </row>
    <row r="509">
      <c r="A509" s="16" t="n"/>
      <c r="B509" s="16" t="n"/>
      <c r="C509" s="16" t="n"/>
      <c r="D509" s="16" t="n"/>
      <c r="E509" s="16" t="n"/>
      <c r="F509" s="16" t="n"/>
      <c r="G509" s="16" t="n"/>
      <c r="H509" s="16" t="n"/>
      <c r="I509" s="16" t="n"/>
      <c r="J509" s="16" t="n"/>
      <c r="K509" s="16" t="n"/>
      <c r="L509" s="16" t="n"/>
      <c r="M509" s="16" t="n"/>
      <c r="N509" s="16" t="n"/>
      <c r="O509" s="16" t="n"/>
      <c r="P509" s="16" t="n"/>
      <c r="Q509" s="16" t="n"/>
      <c r="R509" s="16" t="n"/>
      <c r="S509" s="16" t="n"/>
      <c r="T509" s="16" t="n"/>
      <c r="U509" s="16" t="n"/>
      <c r="V509" s="16" t="n"/>
      <c r="W509" s="16" t="n"/>
      <c r="X509" s="16" t="n"/>
      <c r="Y509" s="16" t="n"/>
      <c r="Z509" s="16" t="n"/>
      <c r="AA509" s="16" t="n"/>
    </row>
    <row r="510">
      <c r="A510" s="16" t="n"/>
      <c r="B510" s="16" t="n"/>
      <c r="C510" s="16" t="n"/>
      <c r="D510" s="16" t="n"/>
      <c r="E510" s="16" t="n"/>
      <c r="F510" s="16" t="n"/>
      <c r="G510" s="16" t="n"/>
      <c r="H510" s="16" t="n"/>
      <c r="I510" s="16" t="n"/>
      <c r="J510" s="16" t="n"/>
      <c r="K510" s="16" t="n"/>
      <c r="L510" s="16" t="n"/>
      <c r="M510" s="16" t="n"/>
      <c r="N510" s="16" t="n"/>
      <c r="O510" s="16" t="n"/>
      <c r="P510" s="16" t="n"/>
      <c r="Q510" s="16" t="n"/>
      <c r="R510" s="16" t="n"/>
      <c r="S510" s="16" t="n"/>
      <c r="T510" s="16" t="n"/>
      <c r="U510" s="16" t="n"/>
      <c r="V510" s="16" t="n"/>
      <c r="W510" s="16" t="n"/>
      <c r="X510" s="16" t="n"/>
      <c r="Y510" s="16" t="n"/>
      <c r="Z510" s="16" t="n"/>
      <c r="AA510" s="16" t="n"/>
    </row>
    <row r="511">
      <c r="A511" s="16" t="n"/>
      <c r="B511" s="16" t="n"/>
      <c r="C511" s="16" t="n"/>
      <c r="D511" s="16" t="n"/>
      <c r="E511" s="16" t="n"/>
      <c r="F511" s="16" t="n"/>
      <c r="G511" s="16" t="n"/>
      <c r="H511" s="16" t="n"/>
      <c r="I511" s="16" t="n"/>
      <c r="J511" s="16" t="n"/>
      <c r="K511" s="16" t="n"/>
      <c r="L511" s="16" t="n"/>
      <c r="M511" s="16" t="n"/>
      <c r="N511" s="16" t="n"/>
      <c r="O511" s="16" t="n"/>
      <c r="P511" s="16" t="n"/>
      <c r="Q511" s="16" t="n"/>
      <c r="R511" s="16" t="n"/>
      <c r="S511" s="16" t="n"/>
      <c r="T511" s="16" t="n"/>
      <c r="U511" s="16" t="n"/>
      <c r="V511" s="16" t="n"/>
      <c r="W511" s="16" t="n"/>
      <c r="X511" s="16" t="n"/>
      <c r="Y511" s="16" t="n"/>
      <c r="Z511" s="16" t="n"/>
      <c r="AA511" s="16" t="n"/>
    </row>
    <row r="512">
      <c r="A512" s="16" t="n"/>
      <c r="B512" s="16" t="n"/>
      <c r="C512" s="16" t="n"/>
      <c r="D512" s="16" t="n"/>
      <c r="E512" s="16" t="n"/>
      <c r="F512" s="16" t="n"/>
      <c r="G512" s="16" t="n"/>
      <c r="H512" s="16" t="n"/>
      <c r="I512" s="16" t="n"/>
      <c r="J512" s="16" t="n"/>
      <c r="K512" s="16" t="n"/>
      <c r="L512" s="16" t="n"/>
      <c r="M512" s="16" t="n"/>
      <c r="N512" s="16" t="n"/>
      <c r="O512" s="16" t="n"/>
      <c r="P512" s="16" t="n"/>
      <c r="Q512" s="16" t="n"/>
      <c r="R512" s="16" t="n"/>
      <c r="S512" s="16" t="n"/>
      <c r="T512" s="16" t="n"/>
      <c r="U512" s="16" t="n"/>
      <c r="V512" s="16" t="n"/>
      <c r="W512" s="16" t="n"/>
      <c r="X512" s="16" t="n"/>
      <c r="Y512" s="16" t="n"/>
      <c r="Z512" s="16" t="n"/>
      <c r="AA512" s="16" t="n"/>
    </row>
    <row r="513">
      <c r="A513" s="16" t="n"/>
      <c r="B513" s="16" t="n"/>
      <c r="C513" s="16" t="n"/>
      <c r="D513" s="16" t="n"/>
      <c r="E513" s="16" t="n"/>
      <c r="F513" s="16" t="n"/>
      <c r="G513" s="16" t="n"/>
      <c r="H513" s="16" t="n"/>
      <c r="I513" s="16" t="n"/>
      <c r="J513" s="16" t="n"/>
      <c r="K513" s="16" t="n"/>
      <c r="L513" s="16" t="n"/>
      <c r="M513" s="16" t="n"/>
      <c r="N513" s="16" t="n"/>
      <c r="O513" s="16" t="n"/>
      <c r="P513" s="16" t="n"/>
      <c r="Q513" s="16" t="n"/>
      <c r="R513" s="16" t="n"/>
      <c r="S513" s="16" t="n"/>
      <c r="T513" s="16" t="n"/>
      <c r="U513" s="16" t="n"/>
      <c r="V513" s="16" t="n"/>
      <c r="W513" s="16" t="n"/>
      <c r="X513" s="16" t="n"/>
      <c r="Y513" s="16" t="n"/>
      <c r="Z513" s="16" t="n"/>
      <c r="AA513" s="16" t="n"/>
    </row>
    <row r="514">
      <c r="A514" s="16" t="n"/>
      <c r="B514" s="16" t="n"/>
      <c r="C514" s="16" t="n"/>
      <c r="D514" s="16" t="n"/>
      <c r="E514" s="16" t="n"/>
      <c r="F514" s="16" t="n"/>
      <c r="G514" s="16" t="n"/>
      <c r="H514" s="16" t="n"/>
      <c r="I514" s="16" t="n"/>
      <c r="J514" s="16" t="n"/>
      <c r="K514" s="16" t="n"/>
      <c r="L514" s="16" t="n"/>
      <c r="M514" s="16" t="n"/>
      <c r="N514" s="16" t="n"/>
      <c r="O514" s="16" t="n"/>
      <c r="P514" s="16" t="n"/>
      <c r="Q514" s="16" t="n"/>
      <c r="R514" s="16" t="n"/>
      <c r="S514" s="16" t="n"/>
      <c r="T514" s="16" t="n"/>
      <c r="U514" s="16" t="n"/>
      <c r="V514" s="16" t="n"/>
      <c r="W514" s="16" t="n"/>
      <c r="X514" s="16" t="n"/>
      <c r="Y514" s="16" t="n"/>
      <c r="Z514" s="16" t="n"/>
      <c r="AA514" s="16" t="n"/>
    </row>
    <row r="515">
      <c r="A515" s="16" t="n"/>
      <c r="B515" s="16" t="n"/>
      <c r="C515" s="16" t="n"/>
      <c r="D515" s="16" t="n"/>
      <c r="E515" s="16" t="n"/>
      <c r="F515" s="16" t="n"/>
      <c r="G515" s="16" t="n"/>
      <c r="H515" s="16" t="n"/>
      <c r="I515" s="16" t="n"/>
      <c r="J515" s="16" t="n"/>
      <c r="K515" s="16" t="n"/>
      <c r="L515" s="16" t="n"/>
      <c r="M515" s="16" t="n"/>
      <c r="N515" s="16" t="n"/>
      <c r="O515" s="16" t="n"/>
      <c r="P515" s="16" t="n"/>
      <c r="Q515" s="16" t="n"/>
      <c r="R515" s="16" t="n"/>
      <c r="S515" s="16" t="n"/>
      <c r="T515" s="16" t="n"/>
      <c r="U515" s="16" t="n"/>
      <c r="V515" s="16" t="n"/>
      <c r="W515" s="16" t="n"/>
      <c r="X515" s="16" t="n"/>
      <c r="Y515" s="16" t="n"/>
      <c r="Z515" s="16" t="n"/>
      <c r="AA515" s="16" t="n"/>
    </row>
    <row r="516">
      <c r="A516" s="16" t="n"/>
      <c r="B516" s="16" t="n"/>
      <c r="C516" s="16" t="n"/>
      <c r="D516" s="16" t="n"/>
      <c r="E516" s="16" t="n"/>
      <c r="F516" s="16" t="n"/>
      <c r="G516" s="16" t="n"/>
      <c r="H516" s="16" t="n"/>
      <c r="I516" s="16" t="n"/>
      <c r="J516" s="16" t="n"/>
      <c r="K516" s="16" t="n"/>
      <c r="L516" s="16" t="n"/>
      <c r="M516" s="16" t="n"/>
      <c r="N516" s="16" t="n"/>
      <c r="O516" s="16" t="n"/>
      <c r="P516" s="16" t="n"/>
      <c r="Q516" s="16" t="n"/>
      <c r="R516" s="16" t="n"/>
      <c r="S516" s="16" t="n"/>
      <c r="T516" s="16" t="n"/>
      <c r="U516" s="16" t="n"/>
      <c r="V516" s="16" t="n"/>
      <c r="W516" s="16" t="n"/>
      <c r="X516" s="16" t="n"/>
      <c r="Y516" s="16" t="n"/>
      <c r="Z516" s="16" t="n"/>
      <c r="AA516" s="16" t="n"/>
    </row>
    <row r="517">
      <c r="A517" s="16" t="n"/>
      <c r="B517" s="16" t="n"/>
      <c r="C517" s="16" t="n"/>
      <c r="D517" s="16" t="n"/>
      <c r="E517" s="16" t="n"/>
      <c r="F517" s="16" t="n"/>
      <c r="G517" s="16" t="n"/>
      <c r="H517" s="16" t="n"/>
      <c r="I517" s="16" t="n"/>
      <c r="J517" s="16" t="n"/>
      <c r="K517" s="16" t="n"/>
      <c r="L517" s="16" t="n"/>
      <c r="M517" s="16" t="n"/>
      <c r="N517" s="16" t="n"/>
      <c r="O517" s="16" t="n"/>
      <c r="P517" s="16" t="n"/>
      <c r="Q517" s="16" t="n"/>
      <c r="R517" s="16" t="n"/>
      <c r="S517" s="16" t="n"/>
      <c r="T517" s="16" t="n"/>
      <c r="U517" s="16" t="n"/>
      <c r="V517" s="16" t="n"/>
      <c r="W517" s="16" t="n"/>
      <c r="X517" s="16" t="n"/>
      <c r="Y517" s="16" t="n"/>
      <c r="Z517" s="16" t="n"/>
      <c r="AA517" s="16" t="n"/>
    </row>
    <row r="518">
      <c r="A518" s="16" t="n"/>
      <c r="B518" s="16" t="n"/>
      <c r="C518" s="16" t="n"/>
      <c r="D518" s="16" t="n"/>
      <c r="E518" s="16" t="n"/>
      <c r="F518" s="16" t="n"/>
      <c r="G518" s="16" t="n"/>
      <c r="H518" s="16" t="n"/>
      <c r="I518" s="16" t="n"/>
      <c r="J518" s="16" t="n"/>
      <c r="K518" s="16" t="n"/>
      <c r="L518" s="16" t="n"/>
      <c r="M518" s="16" t="n"/>
      <c r="N518" s="16" t="n"/>
      <c r="O518" s="16" t="n"/>
      <c r="P518" s="16" t="n"/>
      <c r="Q518" s="16" t="n"/>
      <c r="R518" s="16" t="n"/>
      <c r="S518" s="16" t="n"/>
      <c r="T518" s="16" t="n"/>
      <c r="U518" s="16" t="n"/>
      <c r="V518" s="16" t="n"/>
      <c r="W518" s="16" t="n"/>
      <c r="X518" s="16" t="n"/>
      <c r="Y518" s="16" t="n"/>
      <c r="Z518" s="16" t="n"/>
      <c r="AA518" s="16" t="n"/>
    </row>
    <row r="519">
      <c r="A519" s="16" t="n"/>
      <c r="B519" s="16" t="n"/>
      <c r="C519" s="16" t="n"/>
      <c r="D519" s="16" t="n"/>
      <c r="E519" s="16" t="n"/>
      <c r="F519" s="16" t="n"/>
      <c r="G519" s="16" t="n"/>
      <c r="H519" s="16" t="n"/>
      <c r="I519" s="16" t="n"/>
      <c r="J519" s="16" t="n"/>
      <c r="K519" s="16" t="n"/>
      <c r="L519" s="16" t="n"/>
      <c r="M519" s="16" t="n"/>
      <c r="N519" s="16" t="n"/>
      <c r="O519" s="16" t="n"/>
      <c r="P519" s="16" t="n"/>
      <c r="Q519" s="16" t="n"/>
      <c r="R519" s="16" t="n"/>
      <c r="S519" s="16" t="n"/>
      <c r="T519" s="16" t="n"/>
      <c r="U519" s="16" t="n"/>
      <c r="V519" s="16" t="n"/>
      <c r="W519" s="16" t="n"/>
      <c r="X519" s="16" t="n"/>
      <c r="Y519" s="16" t="n"/>
      <c r="Z519" s="16" t="n"/>
      <c r="AA519" s="16" t="n"/>
    </row>
    <row r="520">
      <c r="A520" s="16" t="n"/>
      <c r="B520" s="16" t="n"/>
      <c r="C520" s="16" t="n"/>
      <c r="D520" s="16" t="n"/>
      <c r="E520" s="16" t="n"/>
      <c r="F520" s="16" t="n"/>
      <c r="G520" s="16" t="n"/>
      <c r="H520" s="16" t="n"/>
      <c r="I520" s="16" t="n"/>
      <c r="J520" s="16" t="n"/>
      <c r="K520" s="16" t="n"/>
      <c r="L520" s="16" t="n"/>
      <c r="M520" s="16" t="n"/>
      <c r="N520" s="16" t="n"/>
      <c r="O520" s="16" t="n"/>
      <c r="P520" s="16" t="n"/>
      <c r="Q520" s="16" t="n"/>
      <c r="R520" s="16" t="n"/>
      <c r="S520" s="16" t="n"/>
      <c r="T520" s="16" t="n"/>
      <c r="U520" s="16" t="n"/>
      <c r="V520" s="16" t="n"/>
      <c r="W520" s="16" t="n"/>
      <c r="X520" s="16" t="n"/>
      <c r="Y520" s="16" t="n"/>
      <c r="Z520" s="16" t="n"/>
      <c r="AA520" s="16" t="n"/>
    </row>
    <row r="521">
      <c r="A521" s="16" t="n"/>
      <c r="B521" s="16" t="n"/>
      <c r="C521" s="16" t="n"/>
      <c r="D521" s="16" t="n"/>
      <c r="E521" s="16" t="n"/>
      <c r="F521" s="16" t="n"/>
      <c r="G521" s="16" t="n"/>
      <c r="H521" s="16" t="n"/>
      <c r="I521" s="16" t="n"/>
      <c r="J521" s="16" t="n"/>
      <c r="K521" s="16" t="n"/>
      <c r="L521" s="16" t="n"/>
      <c r="M521" s="16" t="n"/>
      <c r="N521" s="16" t="n"/>
      <c r="O521" s="16" t="n"/>
      <c r="P521" s="16" t="n"/>
      <c r="Q521" s="16" t="n"/>
      <c r="R521" s="16" t="n"/>
      <c r="S521" s="16" t="n"/>
      <c r="T521" s="16" t="n"/>
      <c r="U521" s="16" t="n"/>
      <c r="V521" s="16" t="n"/>
      <c r="W521" s="16" t="n"/>
      <c r="X521" s="16" t="n"/>
      <c r="Y521" s="16" t="n"/>
      <c r="Z521" s="16" t="n"/>
      <c r="AA521" s="16" t="n"/>
    </row>
    <row r="522">
      <c r="A522" s="16" t="n"/>
      <c r="B522" s="16" t="n"/>
      <c r="C522" s="16" t="n"/>
      <c r="D522" s="16" t="n"/>
      <c r="E522" s="16" t="n"/>
      <c r="F522" s="16" t="n"/>
      <c r="G522" s="16" t="n"/>
      <c r="H522" s="16" t="n"/>
      <c r="I522" s="16" t="n"/>
      <c r="J522" s="16" t="n"/>
      <c r="K522" s="16" t="n"/>
      <c r="L522" s="16" t="n"/>
      <c r="M522" s="16" t="n"/>
      <c r="N522" s="16" t="n"/>
      <c r="O522" s="16" t="n"/>
      <c r="P522" s="16" t="n"/>
      <c r="Q522" s="16" t="n"/>
      <c r="R522" s="16" t="n"/>
      <c r="S522" s="16" t="n"/>
      <c r="T522" s="16" t="n"/>
      <c r="U522" s="16" t="n"/>
      <c r="V522" s="16" t="n"/>
      <c r="W522" s="16" t="n"/>
      <c r="X522" s="16" t="n"/>
      <c r="Y522" s="16" t="n"/>
      <c r="Z522" s="16" t="n"/>
      <c r="AA522" s="16" t="n"/>
    </row>
    <row r="523">
      <c r="A523" s="16" t="n"/>
      <c r="B523" s="16" t="n"/>
      <c r="C523" s="16" t="n"/>
      <c r="D523" s="16" t="n"/>
      <c r="E523" s="16" t="n"/>
      <c r="F523" s="16" t="n"/>
      <c r="G523" s="16" t="n"/>
      <c r="H523" s="16" t="n"/>
      <c r="I523" s="16" t="n"/>
      <c r="J523" s="16" t="n"/>
      <c r="K523" s="16" t="n"/>
      <c r="L523" s="16" t="n"/>
      <c r="M523" s="16" t="n"/>
      <c r="N523" s="16" t="n"/>
      <c r="O523" s="16" t="n"/>
      <c r="P523" s="16" t="n"/>
      <c r="Q523" s="16" t="n"/>
      <c r="R523" s="16" t="n"/>
      <c r="S523" s="16" t="n"/>
      <c r="T523" s="16" t="n"/>
      <c r="U523" s="16" t="n"/>
      <c r="V523" s="16" t="n"/>
      <c r="W523" s="16" t="n"/>
      <c r="X523" s="16" t="n"/>
      <c r="Y523" s="16" t="n"/>
      <c r="Z523" s="16" t="n"/>
      <c r="AA523" s="16" t="n"/>
    </row>
    <row r="524">
      <c r="A524" s="16" t="n"/>
      <c r="B524" s="16" t="n"/>
      <c r="C524" s="16" t="n"/>
      <c r="D524" s="16" t="n"/>
      <c r="E524" s="16" t="n"/>
      <c r="F524" s="16" t="n"/>
      <c r="G524" s="16" t="n"/>
      <c r="H524" s="16" t="n"/>
      <c r="I524" s="16" t="n"/>
      <c r="J524" s="16" t="n"/>
      <c r="K524" s="16" t="n"/>
      <c r="L524" s="16" t="n"/>
      <c r="M524" s="16" t="n"/>
      <c r="N524" s="16" t="n"/>
      <c r="O524" s="16" t="n"/>
      <c r="P524" s="16" t="n"/>
      <c r="Q524" s="16" t="n"/>
      <c r="R524" s="16" t="n"/>
      <c r="S524" s="16" t="n"/>
      <c r="T524" s="16" t="n"/>
      <c r="U524" s="16" t="n"/>
      <c r="V524" s="16" t="n"/>
      <c r="W524" s="16" t="n"/>
      <c r="X524" s="16" t="n"/>
      <c r="Y524" s="16" t="n"/>
      <c r="Z524" s="16" t="n"/>
      <c r="AA524" s="16" t="n"/>
    </row>
    <row r="525">
      <c r="A525" s="16" t="n"/>
      <c r="B525" s="16" t="n"/>
      <c r="C525" s="16" t="n"/>
      <c r="D525" s="16" t="n"/>
      <c r="E525" s="16" t="n"/>
      <c r="F525" s="16" t="n"/>
      <c r="G525" s="16" t="n"/>
      <c r="H525" s="16" t="n"/>
      <c r="I525" s="16" t="n"/>
      <c r="J525" s="16" t="n"/>
      <c r="K525" s="16" t="n"/>
      <c r="L525" s="16" t="n"/>
      <c r="M525" s="16" t="n"/>
      <c r="N525" s="16" t="n"/>
      <c r="O525" s="16" t="n"/>
      <c r="P525" s="16" t="n"/>
      <c r="Q525" s="16" t="n"/>
      <c r="R525" s="16" t="n"/>
      <c r="S525" s="16" t="n"/>
      <c r="T525" s="16" t="n"/>
      <c r="U525" s="16" t="n"/>
      <c r="V525" s="16" t="n"/>
      <c r="W525" s="16" t="n"/>
      <c r="X525" s="16" t="n"/>
      <c r="Y525" s="16" t="n"/>
      <c r="Z525" s="16" t="n"/>
      <c r="AA525" s="16" t="n"/>
    </row>
    <row r="526">
      <c r="A526" s="16" t="n"/>
      <c r="B526" s="16" t="n"/>
      <c r="C526" s="16" t="n"/>
      <c r="D526" s="16" t="n"/>
      <c r="E526" s="16" t="n"/>
      <c r="F526" s="16" t="n"/>
      <c r="G526" s="16" t="n"/>
      <c r="H526" s="16" t="n"/>
      <c r="I526" s="16" t="n"/>
      <c r="J526" s="16" t="n"/>
      <c r="K526" s="16" t="n"/>
      <c r="L526" s="16" t="n"/>
      <c r="M526" s="16" t="n"/>
      <c r="N526" s="16" t="n"/>
      <c r="O526" s="16" t="n"/>
      <c r="P526" s="16" t="n"/>
      <c r="Q526" s="16" t="n"/>
      <c r="R526" s="16" t="n"/>
      <c r="S526" s="16" t="n"/>
      <c r="T526" s="16" t="n"/>
      <c r="U526" s="16" t="n"/>
      <c r="V526" s="16" t="n"/>
      <c r="W526" s="16" t="n"/>
      <c r="X526" s="16" t="n"/>
      <c r="Y526" s="16" t="n"/>
      <c r="Z526" s="16" t="n"/>
      <c r="AA526" s="16" t="n"/>
    </row>
    <row r="527">
      <c r="A527" s="16" t="n"/>
      <c r="B527" s="16" t="n"/>
      <c r="C527" s="16" t="n"/>
      <c r="D527" s="16" t="n"/>
      <c r="E527" s="16" t="n"/>
      <c r="F527" s="16" t="n"/>
      <c r="G527" s="16" t="n"/>
      <c r="H527" s="16" t="n"/>
      <c r="I527" s="16" t="n"/>
      <c r="J527" s="16" t="n"/>
      <c r="K527" s="16" t="n"/>
      <c r="L527" s="16" t="n"/>
      <c r="M527" s="16" t="n"/>
      <c r="N527" s="16" t="n"/>
      <c r="O527" s="16" t="n"/>
      <c r="P527" s="16" t="n"/>
      <c r="Q527" s="16" t="n"/>
      <c r="R527" s="16" t="n"/>
      <c r="S527" s="16" t="n"/>
      <c r="T527" s="16" t="n"/>
      <c r="U527" s="16" t="n"/>
      <c r="V527" s="16" t="n"/>
      <c r="W527" s="16" t="n"/>
      <c r="X527" s="16" t="n"/>
      <c r="Y527" s="16" t="n"/>
      <c r="Z527" s="16" t="n"/>
      <c r="AA527" s="16" t="n"/>
    </row>
    <row r="528">
      <c r="A528" s="16" t="n"/>
      <c r="B528" s="16" t="n"/>
      <c r="C528" s="16" t="n"/>
      <c r="D528" s="16" t="n"/>
      <c r="E528" s="16" t="n"/>
      <c r="F528" s="16" t="n"/>
      <c r="G528" s="16" t="n"/>
      <c r="H528" s="16" t="n"/>
      <c r="I528" s="16" t="n"/>
      <c r="J528" s="16" t="n"/>
      <c r="K528" s="16" t="n"/>
      <c r="L528" s="16" t="n"/>
      <c r="M528" s="16" t="n"/>
      <c r="N528" s="16" t="n"/>
      <c r="O528" s="16" t="n"/>
      <c r="P528" s="16" t="n"/>
      <c r="Q528" s="16" t="n"/>
      <c r="R528" s="16" t="n"/>
      <c r="S528" s="16" t="n"/>
      <c r="T528" s="16" t="n"/>
      <c r="U528" s="16" t="n"/>
      <c r="V528" s="16" t="n"/>
      <c r="W528" s="16" t="n"/>
      <c r="X528" s="16" t="n"/>
      <c r="Y528" s="16" t="n"/>
      <c r="Z528" s="16" t="n"/>
      <c r="AA528" s="16" t="n"/>
    </row>
    <row r="529">
      <c r="A529" s="16" t="n"/>
      <c r="B529" s="16" t="n"/>
      <c r="C529" s="16" t="n"/>
      <c r="D529" s="16" t="n"/>
      <c r="E529" s="16" t="n"/>
      <c r="F529" s="16" t="n"/>
      <c r="G529" s="16" t="n"/>
      <c r="H529" s="16" t="n"/>
      <c r="I529" s="16" t="n"/>
      <c r="J529" s="16" t="n"/>
      <c r="K529" s="16" t="n"/>
      <c r="L529" s="16" t="n"/>
      <c r="M529" s="16" t="n"/>
      <c r="N529" s="16" t="n"/>
      <c r="O529" s="16" t="n"/>
      <c r="P529" s="16" t="n"/>
      <c r="Q529" s="16" t="n"/>
      <c r="R529" s="16" t="n"/>
      <c r="S529" s="16" t="n"/>
      <c r="T529" s="16" t="n"/>
      <c r="U529" s="16" t="n"/>
      <c r="V529" s="16" t="n"/>
      <c r="W529" s="16" t="n"/>
      <c r="X529" s="16" t="n"/>
      <c r="Y529" s="16" t="n"/>
      <c r="Z529" s="16" t="n"/>
      <c r="AA529" s="16" t="n"/>
    </row>
    <row r="530">
      <c r="A530" s="16" t="n"/>
      <c r="B530" s="16" t="n"/>
      <c r="C530" s="16" t="n"/>
      <c r="D530" s="16" t="n"/>
      <c r="E530" s="16" t="n"/>
      <c r="F530" s="16" t="n"/>
      <c r="G530" s="16" t="n"/>
      <c r="H530" s="16" t="n"/>
      <c r="I530" s="16" t="n"/>
      <c r="J530" s="16" t="n"/>
      <c r="K530" s="16" t="n"/>
      <c r="L530" s="16" t="n"/>
      <c r="M530" s="16" t="n"/>
      <c r="N530" s="16" t="n"/>
      <c r="O530" s="16" t="n"/>
      <c r="P530" s="16" t="n"/>
      <c r="Q530" s="16" t="n"/>
      <c r="R530" s="16" t="n"/>
      <c r="S530" s="16" t="n"/>
      <c r="T530" s="16" t="n"/>
      <c r="U530" s="16" t="n"/>
      <c r="V530" s="16" t="n"/>
      <c r="W530" s="16" t="n"/>
      <c r="X530" s="16" t="n"/>
      <c r="Y530" s="16" t="n"/>
      <c r="Z530" s="16" t="n"/>
      <c r="AA530" s="16" t="n"/>
    </row>
    <row r="531">
      <c r="A531" s="16" t="n"/>
      <c r="B531" s="16" t="n"/>
      <c r="C531" s="16" t="n"/>
      <c r="D531" s="16" t="n"/>
      <c r="E531" s="16" t="n"/>
      <c r="F531" s="16" t="n"/>
      <c r="G531" s="16" t="n"/>
      <c r="H531" s="16" t="n"/>
      <c r="I531" s="16" t="n"/>
      <c r="J531" s="16" t="n"/>
      <c r="K531" s="16" t="n"/>
      <c r="L531" s="16" t="n"/>
      <c r="M531" s="16" t="n"/>
      <c r="N531" s="16" t="n"/>
      <c r="O531" s="16" t="n"/>
      <c r="P531" s="16" t="n"/>
      <c r="Q531" s="16" t="n"/>
      <c r="R531" s="16" t="n"/>
      <c r="S531" s="16" t="n"/>
      <c r="T531" s="16" t="n"/>
      <c r="U531" s="16" t="n"/>
      <c r="V531" s="16" t="n"/>
      <c r="W531" s="16" t="n"/>
      <c r="X531" s="16" t="n"/>
      <c r="Y531" s="16" t="n"/>
      <c r="Z531" s="16" t="n"/>
      <c r="AA531" s="16" t="n"/>
    </row>
    <row r="532">
      <c r="A532" s="16" t="n"/>
      <c r="B532" s="16" t="n"/>
      <c r="C532" s="16" t="n"/>
      <c r="D532" s="16" t="n"/>
      <c r="E532" s="16" t="n"/>
      <c r="F532" s="16" t="n"/>
      <c r="G532" s="16" t="n"/>
      <c r="H532" s="16" t="n"/>
      <c r="I532" s="16" t="n"/>
      <c r="J532" s="16" t="n"/>
      <c r="K532" s="16" t="n"/>
      <c r="L532" s="16" t="n"/>
      <c r="M532" s="16" t="n"/>
      <c r="N532" s="16" t="n"/>
      <c r="O532" s="16" t="n"/>
      <c r="P532" s="16" t="n"/>
      <c r="Q532" s="16" t="n"/>
      <c r="R532" s="16" t="n"/>
      <c r="S532" s="16" t="n"/>
      <c r="T532" s="16" t="n"/>
      <c r="U532" s="16" t="n"/>
      <c r="V532" s="16" t="n"/>
      <c r="W532" s="16" t="n"/>
      <c r="X532" s="16" t="n"/>
      <c r="Y532" s="16" t="n"/>
      <c r="Z532" s="16" t="n"/>
      <c r="AA532" s="16" t="n"/>
    </row>
    <row r="533">
      <c r="A533" s="16" t="n"/>
      <c r="B533" s="16" t="n"/>
      <c r="C533" s="16" t="n"/>
      <c r="D533" s="16" t="n"/>
      <c r="E533" s="16" t="n"/>
      <c r="F533" s="16" t="n"/>
      <c r="G533" s="16" t="n"/>
      <c r="H533" s="16" t="n"/>
      <c r="I533" s="16" t="n"/>
      <c r="J533" s="16" t="n"/>
      <c r="K533" s="16" t="n"/>
      <c r="L533" s="16" t="n"/>
      <c r="M533" s="16" t="n"/>
      <c r="N533" s="16" t="n"/>
      <c r="O533" s="16" t="n"/>
      <c r="P533" s="16" t="n"/>
      <c r="Q533" s="16" t="n"/>
      <c r="R533" s="16" t="n"/>
      <c r="S533" s="16" t="n"/>
      <c r="T533" s="16" t="n"/>
      <c r="U533" s="16" t="n"/>
      <c r="V533" s="16" t="n"/>
      <c r="W533" s="16" t="n"/>
      <c r="X533" s="16" t="n"/>
      <c r="Y533" s="16" t="n"/>
      <c r="Z533" s="16" t="n"/>
      <c r="AA533" s="16" t="n"/>
    </row>
    <row r="534">
      <c r="A534" s="16" t="n"/>
      <c r="B534" s="16" t="n"/>
      <c r="C534" s="16" t="n"/>
      <c r="D534" s="16" t="n"/>
      <c r="E534" s="16" t="n"/>
      <c r="F534" s="16" t="n"/>
      <c r="G534" s="16" t="n"/>
      <c r="H534" s="16" t="n"/>
      <c r="I534" s="16" t="n"/>
      <c r="J534" s="16" t="n"/>
      <c r="K534" s="16" t="n"/>
      <c r="L534" s="16" t="n"/>
      <c r="M534" s="16" t="n"/>
      <c r="N534" s="16" t="n"/>
      <c r="O534" s="16" t="n"/>
      <c r="P534" s="16" t="n"/>
      <c r="Q534" s="16" t="n"/>
      <c r="R534" s="16" t="n"/>
      <c r="S534" s="16" t="n"/>
      <c r="T534" s="16" t="n"/>
      <c r="U534" s="16" t="n"/>
      <c r="V534" s="16" t="n"/>
      <c r="W534" s="16" t="n"/>
      <c r="X534" s="16" t="n"/>
      <c r="Y534" s="16" t="n"/>
      <c r="Z534" s="16" t="n"/>
      <c r="AA534" s="16" t="n"/>
    </row>
    <row r="535">
      <c r="A535" s="16" t="n"/>
      <c r="B535" s="16" t="n"/>
      <c r="C535" s="16" t="n"/>
      <c r="D535" s="16" t="n"/>
      <c r="E535" s="16" t="n"/>
      <c r="F535" s="16" t="n"/>
      <c r="G535" s="16" t="n"/>
      <c r="H535" s="16" t="n"/>
      <c r="I535" s="16" t="n"/>
      <c r="J535" s="16" t="n"/>
      <c r="K535" s="16" t="n"/>
      <c r="L535" s="16" t="n"/>
      <c r="M535" s="16" t="n"/>
      <c r="N535" s="16" t="n"/>
      <c r="O535" s="16" t="n"/>
      <c r="P535" s="16" t="n"/>
      <c r="Q535" s="16" t="n"/>
      <c r="R535" s="16" t="n"/>
      <c r="S535" s="16" t="n"/>
      <c r="T535" s="16" t="n"/>
      <c r="U535" s="16" t="n"/>
      <c r="V535" s="16" t="n"/>
      <c r="W535" s="16" t="n"/>
      <c r="X535" s="16" t="n"/>
      <c r="Y535" s="16" t="n"/>
      <c r="Z535" s="16" t="n"/>
      <c r="AA535" s="16" t="n"/>
    </row>
    <row r="536">
      <c r="A536" s="16" t="n"/>
      <c r="B536" s="16" t="n"/>
      <c r="C536" s="16" t="n"/>
      <c r="D536" s="16" t="n"/>
      <c r="E536" s="16" t="n"/>
      <c r="F536" s="16" t="n"/>
      <c r="G536" s="16" t="n"/>
      <c r="H536" s="16" t="n"/>
      <c r="I536" s="16" t="n"/>
      <c r="J536" s="16" t="n"/>
      <c r="K536" s="16" t="n"/>
      <c r="L536" s="16" t="n"/>
      <c r="M536" s="16" t="n"/>
      <c r="N536" s="16" t="n"/>
      <c r="O536" s="16" t="n"/>
      <c r="P536" s="16" t="n"/>
      <c r="Q536" s="16" t="n"/>
      <c r="R536" s="16" t="n"/>
      <c r="S536" s="16" t="n"/>
      <c r="T536" s="16" t="n"/>
      <c r="U536" s="16" t="n"/>
      <c r="V536" s="16" t="n"/>
      <c r="W536" s="16" t="n"/>
      <c r="X536" s="16" t="n"/>
      <c r="Y536" s="16" t="n"/>
      <c r="Z536" s="16" t="n"/>
      <c r="AA536" s="16" t="n"/>
    </row>
    <row r="537">
      <c r="A537" s="16" t="n"/>
      <c r="B537" s="16" t="n"/>
      <c r="C537" s="16" t="n"/>
      <c r="D537" s="16" t="n"/>
      <c r="E537" s="16" t="n"/>
      <c r="F537" s="16" t="n"/>
      <c r="G537" s="16" t="n"/>
      <c r="H537" s="16" t="n"/>
      <c r="I537" s="16" t="n"/>
      <c r="J537" s="16" t="n"/>
      <c r="K537" s="16" t="n"/>
      <c r="L537" s="16" t="n"/>
      <c r="M537" s="16" t="n"/>
      <c r="N537" s="16" t="n"/>
      <c r="O537" s="16" t="n"/>
      <c r="P537" s="16" t="n"/>
      <c r="Q537" s="16" t="n"/>
      <c r="R537" s="16" t="n"/>
      <c r="S537" s="16" t="n"/>
      <c r="T537" s="16" t="n"/>
      <c r="U537" s="16" t="n"/>
      <c r="V537" s="16" t="n"/>
      <c r="W537" s="16" t="n"/>
      <c r="X537" s="16" t="n"/>
      <c r="Y537" s="16" t="n"/>
      <c r="Z537" s="16" t="n"/>
      <c r="AA537" s="16" t="n"/>
    </row>
    <row r="538">
      <c r="A538" s="16" t="n"/>
      <c r="B538" s="16" t="n"/>
      <c r="C538" s="16" t="n"/>
      <c r="D538" s="16" t="n"/>
      <c r="E538" s="16" t="n"/>
      <c r="F538" s="16" t="n"/>
      <c r="G538" s="16" t="n"/>
      <c r="H538" s="16" t="n"/>
      <c r="I538" s="16" t="n"/>
      <c r="J538" s="16" t="n"/>
      <c r="K538" s="16" t="n"/>
      <c r="L538" s="16" t="n"/>
      <c r="M538" s="16" t="n"/>
      <c r="N538" s="16" t="n"/>
      <c r="O538" s="16" t="n"/>
      <c r="P538" s="16" t="n"/>
      <c r="Q538" s="16" t="n"/>
      <c r="R538" s="16" t="n"/>
      <c r="S538" s="16" t="n"/>
      <c r="T538" s="16" t="n"/>
      <c r="U538" s="16" t="n"/>
      <c r="V538" s="16" t="n"/>
      <c r="W538" s="16" t="n"/>
      <c r="X538" s="16" t="n"/>
      <c r="Y538" s="16" t="n"/>
      <c r="Z538" s="16" t="n"/>
      <c r="AA538" s="16" t="n"/>
    </row>
    <row r="539">
      <c r="A539" s="16" t="n"/>
      <c r="B539" s="16" t="n"/>
      <c r="C539" s="16" t="n"/>
      <c r="D539" s="16" t="n"/>
      <c r="E539" s="16" t="n"/>
      <c r="F539" s="16" t="n"/>
      <c r="G539" s="16" t="n"/>
      <c r="H539" s="16" t="n"/>
      <c r="I539" s="16" t="n"/>
      <c r="J539" s="16" t="n"/>
      <c r="K539" s="16" t="n"/>
      <c r="L539" s="16" t="n"/>
      <c r="M539" s="16" t="n"/>
      <c r="N539" s="16" t="n"/>
      <c r="O539" s="16" t="n"/>
      <c r="P539" s="16" t="n"/>
      <c r="Q539" s="16" t="n"/>
      <c r="R539" s="16" t="n"/>
      <c r="S539" s="16" t="n"/>
      <c r="T539" s="16" t="n"/>
      <c r="U539" s="16" t="n"/>
      <c r="V539" s="16" t="n"/>
      <c r="W539" s="16" t="n"/>
      <c r="X539" s="16" t="n"/>
      <c r="Y539" s="16" t="n"/>
      <c r="Z539" s="16" t="n"/>
      <c r="AA539" s="16" t="n"/>
    </row>
    <row r="540">
      <c r="A540" s="16" t="n"/>
      <c r="B540" s="16" t="n"/>
      <c r="C540" s="16" t="n"/>
      <c r="D540" s="16" t="n"/>
      <c r="E540" s="16" t="n"/>
      <c r="F540" s="16" t="n"/>
      <c r="G540" s="16" t="n"/>
      <c r="H540" s="16" t="n"/>
      <c r="I540" s="16" t="n"/>
      <c r="J540" s="16" t="n"/>
      <c r="K540" s="16" t="n"/>
      <c r="L540" s="16" t="n"/>
      <c r="M540" s="16" t="n"/>
      <c r="N540" s="16" t="n"/>
      <c r="O540" s="16" t="n"/>
      <c r="P540" s="16" t="n"/>
      <c r="Q540" s="16" t="n"/>
      <c r="R540" s="16" t="n"/>
      <c r="S540" s="16" t="n"/>
      <c r="T540" s="16" t="n"/>
      <c r="U540" s="16" t="n"/>
      <c r="V540" s="16" t="n"/>
      <c r="W540" s="16" t="n"/>
      <c r="X540" s="16" t="n"/>
      <c r="Y540" s="16" t="n"/>
      <c r="Z540" s="16" t="n"/>
      <c r="AA540" s="16" t="n"/>
    </row>
    <row r="541">
      <c r="A541" s="16" t="n"/>
      <c r="B541" s="16" t="n"/>
      <c r="C541" s="16" t="n"/>
      <c r="D541" s="16" t="n"/>
      <c r="E541" s="16" t="n"/>
      <c r="F541" s="16" t="n"/>
      <c r="G541" s="16" t="n"/>
      <c r="H541" s="16" t="n"/>
      <c r="I541" s="16" t="n"/>
      <c r="J541" s="16" t="n"/>
      <c r="K541" s="16" t="n"/>
      <c r="L541" s="16" t="n"/>
      <c r="M541" s="16" t="n"/>
      <c r="N541" s="16" t="n"/>
      <c r="O541" s="16" t="n"/>
      <c r="P541" s="16" t="n"/>
      <c r="Q541" s="16" t="n"/>
      <c r="R541" s="16" t="n"/>
      <c r="S541" s="16" t="n"/>
      <c r="T541" s="16" t="n"/>
      <c r="U541" s="16" t="n"/>
      <c r="V541" s="16" t="n"/>
      <c r="W541" s="16" t="n"/>
      <c r="X541" s="16" t="n"/>
      <c r="Y541" s="16" t="n"/>
      <c r="Z541" s="16" t="n"/>
      <c r="AA541" s="16" t="n"/>
    </row>
    <row r="542">
      <c r="A542" s="16" t="n"/>
      <c r="B542" s="16" t="n"/>
      <c r="C542" s="16" t="n"/>
      <c r="D542" s="16" t="n"/>
      <c r="E542" s="16" t="n"/>
      <c r="F542" s="16" t="n"/>
      <c r="G542" s="16" t="n"/>
      <c r="H542" s="16" t="n"/>
      <c r="I542" s="16" t="n"/>
      <c r="J542" s="16" t="n"/>
      <c r="K542" s="16" t="n"/>
      <c r="L542" s="16" t="n"/>
      <c r="M542" s="16" t="n"/>
      <c r="N542" s="16" t="n"/>
      <c r="O542" s="16" t="n"/>
      <c r="P542" s="16" t="n"/>
      <c r="Q542" s="16" t="n"/>
      <c r="R542" s="16" t="n"/>
      <c r="S542" s="16" t="n"/>
      <c r="T542" s="16" t="n"/>
      <c r="U542" s="16" t="n"/>
      <c r="V542" s="16" t="n"/>
      <c r="W542" s="16" t="n"/>
      <c r="X542" s="16" t="n"/>
      <c r="Y542" s="16" t="n"/>
      <c r="Z542" s="16" t="n"/>
      <c r="AA542" s="16" t="n"/>
    </row>
    <row r="543">
      <c r="A543" s="16" t="n"/>
      <c r="B543" s="16" t="n"/>
      <c r="C543" s="16" t="n"/>
      <c r="D543" s="16" t="n"/>
      <c r="E543" s="16" t="n"/>
      <c r="F543" s="16" t="n"/>
      <c r="G543" s="16" t="n"/>
      <c r="H543" s="16" t="n"/>
      <c r="I543" s="16" t="n"/>
      <c r="J543" s="16" t="n"/>
      <c r="K543" s="16" t="n"/>
      <c r="L543" s="16" t="n"/>
      <c r="M543" s="16" t="n"/>
      <c r="N543" s="16" t="n"/>
      <c r="O543" s="16" t="n"/>
      <c r="P543" s="16" t="n"/>
      <c r="Q543" s="16" t="n"/>
      <c r="R543" s="16" t="n"/>
      <c r="S543" s="16" t="n"/>
      <c r="T543" s="16" t="n"/>
      <c r="U543" s="16" t="n"/>
      <c r="V543" s="16" t="n"/>
      <c r="W543" s="16" t="n"/>
      <c r="X543" s="16" t="n"/>
      <c r="Y543" s="16" t="n"/>
      <c r="Z543" s="16" t="n"/>
      <c r="AA543" s="16" t="n"/>
    </row>
    <row r="544">
      <c r="A544" s="16" t="n"/>
      <c r="B544" s="16" t="n"/>
      <c r="C544" s="16" t="n"/>
      <c r="D544" s="16" t="n"/>
      <c r="E544" s="16" t="n"/>
      <c r="F544" s="16" t="n"/>
      <c r="G544" s="16" t="n"/>
      <c r="H544" s="16" t="n"/>
      <c r="I544" s="16" t="n"/>
      <c r="J544" s="16" t="n"/>
      <c r="K544" s="16" t="n"/>
      <c r="L544" s="16" t="n"/>
      <c r="M544" s="16" t="n"/>
      <c r="N544" s="16" t="n"/>
      <c r="O544" s="16" t="n"/>
      <c r="P544" s="16" t="n"/>
      <c r="Q544" s="16" t="n"/>
      <c r="R544" s="16" t="n"/>
      <c r="S544" s="16" t="n"/>
      <c r="T544" s="16" t="n"/>
      <c r="U544" s="16" t="n"/>
      <c r="V544" s="16" t="n"/>
      <c r="W544" s="16" t="n"/>
      <c r="X544" s="16" t="n"/>
      <c r="Y544" s="16" t="n"/>
      <c r="Z544" s="16" t="n"/>
      <c r="AA544" s="16" t="n"/>
    </row>
    <row r="545">
      <c r="A545" s="16" t="n"/>
      <c r="B545" s="16" t="n"/>
      <c r="C545" s="16" t="n"/>
      <c r="D545" s="16" t="n"/>
      <c r="E545" s="16" t="n"/>
      <c r="F545" s="16" t="n"/>
      <c r="G545" s="16" t="n"/>
      <c r="H545" s="16" t="n"/>
      <c r="I545" s="16" t="n"/>
      <c r="J545" s="16" t="n"/>
      <c r="K545" s="16" t="n"/>
      <c r="L545" s="16" t="n"/>
      <c r="M545" s="16" t="n"/>
      <c r="N545" s="16" t="n"/>
      <c r="O545" s="16" t="n"/>
      <c r="P545" s="16" t="n"/>
      <c r="Q545" s="16" t="n"/>
      <c r="R545" s="16" t="n"/>
      <c r="S545" s="16" t="n"/>
      <c r="T545" s="16" t="n"/>
      <c r="U545" s="16" t="n"/>
      <c r="V545" s="16" t="n"/>
      <c r="W545" s="16" t="n"/>
      <c r="X545" s="16" t="n"/>
      <c r="Y545" s="16" t="n"/>
      <c r="Z545" s="16" t="n"/>
      <c r="AA545" s="16" t="n"/>
    </row>
    <row r="546">
      <c r="A546" s="16" t="n"/>
      <c r="B546" s="16" t="n"/>
      <c r="C546" s="16" t="n"/>
      <c r="D546" s="16" t="n"/>
      <c r="E546" s="16" t="n"/>
      <c r="F546" s="16" t="n"/>
      <c r="G546" s="16" t="n"/>
      <c r="H546" s="16" t="n"/>
      <c r="I546" s="16" t="n"/>
      <c r="J546" s="16" t="n"/>
      <c r="K546" s="16" t="n"/>
      <c r="L546" s="16" t="n"/>
      <c r="M546" s="16" t="n"/>
      <c r="N546" s="16" t="n"/>
      <c r="O546" s="16" t="n"/>
      <c r="P546" s="16" t="n"/>
      <c r="Q546" s="16" t="n"/>
      <c r="R546" s="16" t="n"/>
      <c r="S546" s="16" t="n"/>
      <c r="T546" s="16" t="n"/>
      <c r="U546" s="16" t="n"/>
      <c r="V546" s="16" t="n"/>
      <c r="W546" s="16" t="n"/>
      <c r="X546" s="16" t="n"/>
      <c r="Y546" s="16" t="n"/>
      <c r="Z546" s="16" t="n"/>
      <c r="AA546" s="16" t="n"/>
    </row>
    <row r="547">
      <c r="A547" s="16" t="n"/>
      <c r="B547" s="16" t="n"/>
      <c r="C547" s="16" t="n"/>
      <c r="D547" s="16" t="n"/>
      <c r="E547" s="16" t="n"/>
      <c r="F547" s="16" t="n"/>
      <c r="G547" s="16" t="n"/>
      <c r="H547" s="16" t="n"/>
      <c r="I547" s="16" t="n"/>
      <c r="J547" s="16" t="n"/>
      <c r="K547" s="16" t="n"/>
      <c r="L547" s="16" t="n"/>
      <c r="M547" s="16" t="n"/>
      <c r="N547" s="16" t="n"/>
      <c r="O547" s="16" t="n"/>
      <c r="P547" s="16" t="n"/>
      <c r="Q547" s="16" t="n"/>
      <c r="R547" s="16" t="n"/>
      <c r="S547" s="16" t="n"/>
      <c r="T547" s="16" t="n"/>
      <c r="U547" s="16" t="n"/>
      <c r="V547" s="16" t="n"/>
      <c r="W547" s="16" t="n"/>
      <c r="X547" s="16" t="n"/>
      <c r="Y547" s="16" t="n"/>
      <c r="Z547" s="16" t="n"/>
      <c r="AA547" s="16" t="n"/>
    </row>
    <row r="548">
      <c r="A548" s="16" t="n"/>
      <c r="B548" s="16" t="n"/>
      <c r="C548" s="16" t="n"/>
      <c r="D548" s="16" t="n"/>
      <c r="E548" s="16" t="n"/>
      <c r="F548" s="16" t="n"/>
      <c r="G548" s="16" t="n"/>
      <c r="H548" s="16" t="n"/>
      <c r="I548" s="16" t="n"/>
      <c r="J548" s="16" t="n"/>
      <c r="K548" s="16" t="n"/>
      <c r="L548" s="16" t="n"/>
      <c r="M548" s="16" t="n"/>
      <c r="N548" s="16" t="n"/>
      <c r="O548" s="16" t="n"/>
      <c r="P548" s="16" t="n"/>
      <c r="Q548" s="16" t="n"/>
      <c r="R548" s="16" t="n"/>
      <c r="S548" s="16" t="n"/>
      <c r="T548" s="16" t="n"/>
      <c r="U548" s="16" t="n"/>
      <c r="V548" s="16" t="n"/>
      <c r="W548" s="16" t="n"/>
      <c r="X548" s="16" t="n"/>
      <c r="Y548" s="16" t="n"/>
      <c r="Z548" s="16" t="n"/>
      <c r="AA548" s="16" t="n"/>
    </row>
    <row r="549">
      <c r="A549" s="16" t="n"/>
      <c r="B549" s="16" t="n"/>
      <c r="C549" s="16" t="n"/>
      <c r="D549" s="16" t="n"/>
      <c r="E549" s="16" t="n"/>
      <c r="F549" s="16" t="n"/>
      <c r="G549" s="16" t="n"/>
      <c r="H549" s="16" t="n"/>
      <c r="I549" s="16" t="n"/>
      <c r="J549" s="16" t="n"/>
      <c r="K549" s="16" t="n"/>
      <c r="L549" s="16" t="n"/>
      <c r="M549" s="16" t="n"/>
      <c r="N549" s="16" t="n"/>
      <c r="O549" s="16" t="n"/>
      <c r="P549" s="16" t="n"/>
      <c r="Q549" s="16" t="n"/>
      <c r="R549" s="16" t="n"/>
      <c r="S549" s="16" t="n"/>
      <c r="T549" s="16" t="n"/>
      <c r="U549" s="16" t="n"/>
      <c r="V549" s="16" t="n"/>
      <c r="W549" s="16" t="n"/>
      <c r="X549" s="16" t="n"/>
      <c r="Y549" s="16" t="n"/>
      <c r="Z549" s="16" t="n"/>
      <c r="AA549" s="16" t="n"/>
    </row>
    <row r="550">
      <c r="A550" s="16" t="n"/>
      <c r="B550" s="16" t="n"/>
      <c r="C550" s="16" t="n"/>
      <c r="D550" s="16" t="n"/>
      <c r="E550" s="16" t="n"/>
      <c r="F550" s="16" t="n"/>
      <c r="G550" s="16" t="n"/>
      <c r="H550" s="16" t="n"/>
      <c r="I550" s="16" t="n"/>
      <c r="J550" s="16" t="n"/>
      <c r="K550" s="16" t="n"/>
      <c r="L550" s="16" t="n"/>
      <c r="M550" s="16" t="n"/>
      <c r="N550" s="16" t="n"/>
      <c r="O550" s="16" t="n"/>
      <c r="P550" s="16" t="n"/>
      <c r="Q550" s="16" t="n"/>
      <c r="R550" s="16" t="n"/>
      <c r="S550" s="16" t="n"/>
      <c r="T550" s="16" t="n"/>
      <c r="U550" s="16" t="n"/>
      <c r="V550" s="16" t="n"/>
      <c r="W550" s="16" t="n"/>
      <c r="X550" s="16" t="n"/>
      <c r="Y550" s="16" t="n"/>
      <c r="Z550" s="16" t="n"/>
      <c r="AA550" s="16" t="n"/>
    </row>
    <row r="551">
      <c r="A551" s="16" t="n"/>
      <c r="B551" s="16" t="n"/>
      <c r="C551" s="16" t="n"/>
      <c r="D551" s="16" t="n"/>
      <c r="E551" s="16" t="n"/>
      <c r="F551" s="16" t="n"/>
      <c r="G551" s="16" t="n"/>
      <c r="H551" s="16" t="n"/>
      <c r="I551" s="16" t="n"/>
      <c r="J551" s="16" t="n"/>
      <c r="K551" s="16" t="n"/>
      <c r="L551" s="16" t="n"/>
      <c r="M551" s="16" t="n"/>
      <c r="N551" s="16" t="n"/>
      <c r="O551" s="16" t="n"/>
      <c r="P551" s="16" t="n"/>
      <c r="Q551" s="16" t="n"/>
      <c r="R551" s="16" t="n"/>
      <c r="S551" s="16" t="n"/>
      <c r="T551" s="16" t="n"/>
      <c r="U551" s="16" t="n"/>
      <c r="V551" s="16" t="n"/>
      <c r="W551" s="16" t="n"/>
      <c r="X551" s="16" t="n"/>
      <c r="Y551" s="16" t="n"/>
      <c r="Z551" s="16" t="n"/>
      <c r="AA551" s="16" t="n"/>
    </row>
    <row r="552">
      <c r="A552" s="16" t="n"/>
      <c r="B552" s="16" t="n"/>
      <c r="C552" s="16" t="n"/>
      <c r="D552" s="16" t="n"/>
      <c r="E552" s="16" t="n"/>
      <c r="F552" s="16" t="n"/>
      <c r="G552" s="16" t="n"/>
      <c r="H552" s="16" t="n"/>
      <c r="I552" s="16" t="n"/>
      <c r="J552" s="16" t="n"/>
      <c r="K552" s="16" t="n"/>
      <c r="L552" s="16" t="n"/>
      <c r="M552" s="16" t="n"/>
      <c r="N552" s="16" t="n"/>
      <c r="O552" s="16" t="n"/>
      <c r="P552" s="16" t="n"/>
      <c r="Q552" s="16" t="n"/>
      <c r="R552" s="16" t="n"/>
      <c r="S552" s="16" t="n"/>
      <c r="T552" s="16" t="n"/>
      <c r="U552" s="16" t="n"/>
      <c r="V552" s="16" t="n"/>
      <c r="W552" s="16" t="n"/>
      <c r="X552" s="16" t="n"/>
      <c r="Y552" s="16" t="n"/>
      <c r="Z552" s="16" t="n"/>
      <c r="AA552" s="16" t="n"/>
    </row>
    <row r="553">
      <c r="A553" s="16" t="n"/>
      <c r="B553" s="16" t="n"/>
      <c r="C553" s="16" t="n"/>
      <c r="D553" s="16" t="n"/>
      <c r="E553" s="16" t="n"/>
      <c r="F553" s="16" t="n"/>
      <c r="G553" s="16" t="n"/>
      <c r="H553" s="16" t="n"/>
      <c r="I553" s="16" t="n"/>
      <c r="J553" s="16" t="n"/>
      <c r="K553" s="16" t="n"/>
      <c r="L553" s="16" t="n"/>
      <c r="M553" s="16" t="n"/>
      <c r="N553" s="16" t="n"/>
      <c r="O553" s="16" t="n"/>
      <c r="P553" s="16" t="n"/>
      <c r="Q553" s="16" t="n"/>
      <c r="R553" s="16" t="n"/>
      <c r="S553" s="16" t="n"/>
      <c r="T553" s="16" t="n"/>
      <c r="U553" s="16" t="n"/>
      <c r="V553" s="16" t="n"/>
      <c r="W553" s="16" t="n"/>
      <c r="X553" s="16" t="n"/>
      <c r="Y553" s="16" t="n"/>
      <c r="Z553" s="16" t="n"/>
      <c r="AA553" s="16" t="n"/>
    </row>
    <row r="554">
      <c r="A554" s="16" t="n"/>
      <c r="B554" s="16" t="n"/>
      <c r="C554" s="16" t="n"/>
      <c r="D554" s="16" t="n"/>
      <c r="E554" s="16" t="n"/>
      <c r="F554" s="16" t="n"/>
      <c r="G554" s="16" t="n"/>
      <c r="H554" s="16" t="n"/>
      <c r="I554" s="16" t="n"/>
      <c r="J554" s="16" t="n"/>
      <c r="K554" s="16" t="n"/>
      <c r="L554" s="16" t="n"/>
      <c r="M554" s="16" t="n"/>
      <c r="N554" s="16" t="n"/>
      <c r="O554" s="16" t="n"/>
      <c r="P554" s="16" t="n"/>
      <c r="Q554" s="16" t="n"/>
      <c r="R554" s="16" t="n"/>
      <c r="S554" s="16" t="n"/>
      <c r="T554" s="16" t="n"/>
      <c r="U554" s="16" t="n"/>
      <c r="V554" s="16" t="n"/>
      <c r="W554" s="16" t="n"/>
      <c r="X554" s="16" t="n"/>
      <c r="Y554" s="16" t="n"/>
      <c r="Z554" s="16" t="n"/>
      <c r="AA554" s="16" t="n"/>
    </row>
    <row r="555">
      <c r="A555" s="16" t="n"/>
      <c r="B555" s="16" t="n"/>
      <c r="C555" s="16" t="n"/>
      <c r="D555" s="16" t="n"/>
      <c r="E555" s="16" t="n"/>
      <c r="F555" s="16" t="n"/>
      <c r="G555" s="16" t="n"/>
      <c r="H555" s="16" t="n"/>
      <c r="I555" s="16" t="n"/>
      <c r="J555" s="16" t="n"/>
      <c r="K555" s="16" t="n"/>
      <c r="L555" s="16" t="n"/>
      <c r="M555" s="16" t="n"/>
      <c r="N555" s="16" t="n"/>
      <c r="O555" s="16" t="n"/>
      <c r="P555" s="16" t="n"/>
      <c r="Q555" s="16" t="n"/>
      <c r="R555" s="16" t="n"/>
      <c r="S555" s="16" t="n"/>
      <c r="T555" s="16" t="n"/>
      <c r="U555" s="16" t="n"/>
      <c r="V555" s="16" t="n"/>
      <c r="W555" s="16" t="n"/>
      <c r="X555" s="16" t="n"/>
      <c r="Y555" s="16" t="n"/>
      <c r="Z555" s="16" t="n"/>
      <c r="AA555" s="16" t="n"/>
    </row>
    <row r="556">
      <c r="A556" s="16" t="n"/>
      <c r="B556" s="16" t="n"/>
      <c r="C556" s="16" t="n"/>
      <c r="D556" s="16" t="n"/>
      <c r="E556" s="16" t="n"/>
      <c r="F556" s="16" t="n"/>
      <c r="G556" s="16" t="n"/>
      <c r="H556" s="16" t="n"/>
      <c r="I556" s="16" t="n"/>
      <c r="J556" s="16" t="n"/>
      <c r="K556" s="16" t="n"/>
      <c r="L556" s="16" t="n"/>
      <c r="M556" s="16" t="n"/>
      <c r="N556" s="16" t="n"/>
      <c r="O556" s="16" t="n"/>
      <c r="P556" s="16" t="n"/>
      <c r="Q556" s="16" t="n"/>
      <c r="R556" s="16" t="n"/>
      <c r="S556" s="16" t="n"/>
      <c r="T556" s="16" t="n"/>
      <c r="U556" s="16" t="n"/>
      <c r="V556" s="16" t="n"/>
      <c r="W556" s="16" t="n"/>
      <c r="X556" s="16" t="n"/>
      <c r="Y556" s="16" t="n"/>
      <c r="Z556" s="16" t="n"/>
      <c r="AA556" s="16" t="n"/>
    </row>
    <row r="557">
      <c r="A557" s="16" t="n"/>
      <c r="B557" s="16" t="n"/>
      <c r="C557" s="16" t="n"/>
      <c r="D557" s="16" t="n"/>
      <c r="E557" s="16" t="n"/>
      <c r="F557" s="16" t="n"/>
      <c r="G557" s="16" t="n"/>
      <c r="H557" s="16" t="n"/>
      <c r="I557" s="16" t="n"/>
      <c r="J557" s="16" t="n"/>
      <c r="K557" s="16" t="n"/>
      <c r="L557" s="16" t="n"/>
      <c r="M557" s="16" t="n"/>
      <c r="N557" s="16" t="n"/>
      <c r="O557" s="16" t="n"/>
      <c r="P557" s="16" t="n"/>
      <c r="Q557" s="16" t="n"/>
      <c r="R557" s="16" t="n"/>
      <c r="S557" s="16" t="n"/>
      <c r="T557" s="16" t="n"/>
      <c r="U557" s="16" t="n"/>
      <c r="V557" s="16" t="n"/>
      <c r="W557" s="16" t="n"/>
      <c r="X557" s="16" t="n"/>
      <c r="Y557" s="16" t="n"/>
      <c r="Z557" s="16" t="n"/>
      <c r="AA557" s="16" t="n"/>
    </row>
    <row r="558">
      <c r="A558" s="16" t="n"/>
      <c r="B558" s="16" t="n"/>
      <c r="C558" s="16" t="n"/>
      <c r="D558" s="16" t="n"/>
      <c r="E558" s="16" t="n"/>
      <c r="F558" s="16" t="n"/>
      <c r="G558" s="16" t="n"/>
      <c r="H558" s="16" t="n"/>
      <c r="I558" s="16" t="n"/>
      <c r="J558" s="16" t="n"/>
      <c r="K558" s="16" t="n"/>
      <c r="L558" s="16" t="n"/>
      <c r="M558" s="16" t="n"/>
      <c r="N558" s="16" t="n"/>
      <c r="O558" s="16" t="n"/>
      <c r="P558" s="16" t="n"/>
      <c r="Q558" s="16" t="n"/>
      <c r="R558" s="16" t="n"/>
      <c r="S558" s="16" t="n"/>
      <c r="T558" s="16" t="n"/>
      <c r="U558" s="16" t="n"/>
      <c r="V558" s="16" t="n"/>
      <c r="W558" s="16" t="n"/>
      <c r="X558" s="16" t="n"/>
      <c r="Y558" s="16" t="n"/>
      <c r="Z558" s="16" t="n"/>
      <c r="AA558" s="16" t="n"/>
    </row>
    <row r="559">
      <c r="A559" s="16" t="n"/>
      <c r="B559" s="16" t="n"/>
      <c r="C559" s="16" t="n"/>
      <c r="D559" s="16" t="n"/>
      <c r="E559" s="16" t="n"/>
      <c r="F559" s="16" t="n"/>
      <c r="G559" s="16" t="n"/>
      <c r="H559" s="16" t="n"/>
      <c r="I559" s="16" t="n"/>
      <c r="J559" s="16" t="n"/>
      <c r="K559" s="16" t="n"/>
      <c r="L559" s="16" t="n"/>
      <c r="M559" s="16" t="n"/>
      <c r="N559" s="16" t="n"/>
      <c r="O559" s="16" t="n"/>
      <c r="P559" s="16" t="n"/>
      <c r="Q559" s="16" t="n"/>
      <c r="R559" s="16" t="n"/>
      <c r="S559" s="16" t="n"/>
      <c r="T559" s="16" t="n"/>
      <c r="U559" s="16" t="n"/>
      <c r="V559" s="16" t="n"/>
      <c r="W559" s="16" t="n"/>
      <c r="X559" s="16" t="n"/>
      <c r="Y559" s="16" t="n"/>
      <c r="Z559" s="16" t="n"/>
      <c r="AA559" s="16" t="n"/>
    </row>
    <row r="560">
      <c r="A560" s="16" t="n"/>
      <c r="B560" s="16" t="n"/>
      <c r="C560" s="16" t="n"/>
      <c r="D560" s="16" t="n"/>
      <c r="E560" s="16" t="n"/>
      <c r="F560" s="16" t="n"/>
      <c r="G560" s="16" t="n"/>
      <c r="H560" s="16" t="n"/>
      <c r="I560" s="16" t="n"/>
      <c r="J560" s="16" t="n"/>
      <c r="K560" s="16" t="n"/>
      <c r="L560" s="16" t="n"/>
      <c r="M560" s="16" t="n"/>
      <c r="N560" s="16" t="n"/>
      <c r="O560" s="16" t="n"/>
      <c r="P560" s="16" t="n"/>
      <c r="Q560" s="16" t="n"/>
      <c r="R560" s="16" t="n"/>
      <c r="S560" s="16" t="n"/>
      <c r="T560" s="16" t="n"/>
      <c r="U560" s="16" t="n"/>
      <c r="V560" s="16" t="n"/>
      <c r="W560" s="16" t="n"/>
      <c r="X560" s="16" t="n"/>
      <c r="Y560" s="16" t="n"/>
      <c r="Z560" s="16" t="n"/>
      <c r="AA560" s="16" t="n"/>
    </row>
    <row r="561">
      <c r="A561" s="16" t="n"/>
      <c r="B561" s="16" t="n"/>
      <c r="C561" s="16" t="n"/>
      <c r="D561" s="16" t="n"/>
      <c r="E561" s="16" t="n"/>
      <c r="F561" s="16" t="n"/>
      <c r="G561" s="16" t="n"/>
      <c r="H561" s="16" t="n"/>
      <c r="I561" s="16" t="n"/>
      <c r="J561" s="16" t="n"/>
      <c r="K561" s="16" t="n"/>
      <c r="L561" s="16" t="n"/>
      <c r="M561" s="16" t="n"/>
      <c r="N561" s="16" t="n"/>
      <c r="O561" s="16" t="n"/>
      <c r="P561" s="16" t="n"/>
      <c r="Q561" s="16" t="n"/>
      <c r="R561" s="16" t="n"/>
      <c r="S561" s="16" t="n"/>
      <c r="T561" s="16" t="n"/>
      <c r="U561" s="16" t="n"/>
      <c r="V561" s="16" t="n"/>
      <c r="W561" s="16" t="n"/>
      <c r="X561" s="16" t="n"/>
      <c r="Y561" s="16" t="n"/>
      <c r="Z561" s="16" t="n"/>
      <c r="AA561" s="16" t="n"/>
    </row>
    <row r="562">
      <c r="A562" s="16" t="n"/>
      <c r="B562" s="16" t="n"/>
      <c r="C562" s="16" t="n"/>
      <c r="D562" s="16" t="n"/>
      <c r="E562" s="16" t="n"/>
      <c r="F562" s="16" t="n"/>
      <c r="G562" s="16" t="n"/>
      <c r="H562" s="16" t="n"/>
      <c r="I562" s="16" t="n"/>
      <c r="J562" s="16" t="n"/>
      <c r="K562" s="16" t="n"/>
      <c r="L562" s="16" t="n"/>
      <c r="M562" s="16" t="n"/>
      <c r="N562" s="16" t="n"/>
      <c r="O562" s="16" t="n"/>
      <c r="P562" s="16" t="n"/>
      <c r="Q562" s="16" t="n"/>
      <c r="R562" s="16" t="n"/>
      <c r="S562" s="16" t="n"/>
      <c r="T562" s="16" t="n"/>
      <c r="U562" s="16" t="n"/>
      <c r="V562" s="16" t="n"/>
      <c r="W562" s="16" t="n"/>
      <c r="X562" s="16" t="n"/>
      <c r="Y562" s="16" t="n"/>
      <c r="Z562" s="16" t="n"/>
      <c r="AA562" s="16" t="n"/>
    </row>
    <row r="563">
      <c r="A563" s="16" t="n"/>
      <c r="B563" s="16" t="n"/>
      <c r="C563" s="16" t="n"/>
      <c r="D563" s="16" t="n"/>
      <c r="E563" s="16" t="n"/>
      <c r="F563" s="16" t="n"/>
      <c r="G563" s="16" t="n"/>
      <c r="H563" s="16" t="n"/>
      <c r="I563" s="16" t="n"/>
      <c r="J563" s="16" t="n"/>
      <c r="K563" s="16" t="n"/>
      <c r="L563" s="16" t="n"/>
      <c r="M563" s="16" t="n"/>
      <c r="N563" s="16" t="n"/>
      <c r="O563" s="16" t="n"/>
      <c r="P563" s="16" t="n"/>
      <c r="Q563" s="16" t="n"/>
      <c r="R563" s="16" t="n"/>
      <c r="S563" s="16" t="n"/>
      <c r="T563" s="16" t="n"/>
      <c r="U563" s="16" t="n"/>
      <c r="V563" s="16" t="n"/>
      <c r="W563" s="16" t="n"/>
      <c r="X563" s="16" t="n"/>
      <c r="Y563" s="16" t="n"/>
      <c r="Z563" s="16" t="n"/>
      <c r="AA563" s="16" t="n"/>
    </row>
    <row r="564">
      <c r="A564" s="16" t="n"/>
      <c r="B564" s="16" t="n"/>
      <c r="C564" s="16" t="n"/>
      <c r="D564" s="16" t="n"/>
      <c r="E564" s="16" t="n"/>
      <c r="F564" s="16" t="n"/>
      <c r="G564" s="16" t="n"/>
      <c r="H564" s="16" t="n"/>
      <c r="I564" s="16" t="n"/>
      <c r="J564" s="16" t="n"/>
      <c r="K564" s="16" t="n"/>
      <c r="L564" s="16" t="n"/>
      <c r="M564" s="16" t="n"/>
      <c r="N564" s="16" t="n"/>
      <c r="O564" s="16" t="n"/>
      <c r="P564" s="16" t="n"/>
      <c r="Q564" s="16" t="n"/>
      <c r="R564" s="16" t="n"/>
      <c r="S564" s="16" t="n"/>
      <c r="T564" s="16" t="n"/>
      <c r="U564" s="16" t="n"/>
      <c r="V564" s="16" t="n"/>
      <c r="W564" s="16" t="n"/>
      <c r="X564" s="16" t="n"/>
      <c r="Y564" s="16" t="n"/>
      <c r="Z564" s="16" t="n"/>
      <c r="AA564" s="16" t="n"/>
    </row>
    <row r="565">
      <c r="A565" s="16" t="n"/>
      <c r="B565" s="16" t="n"/>
      <c r="C565" s="16" t="n"/>
      <c r="D565" s="16" t="n"/>
      <c r="E565" s="16" t="n"/>
      <c r="F565" s="16" t="n"/>
      <c r="G565" s="16" t="n"/>
      <c r="H565" s="16" t="n"/>
      <c r="I565" s="16" t="n"/>
      <c r="J565" s="16" t="n"/>
      <c r="K565" s="16" t="n"/>
      <c r="L565" s="16" t="n"/>
      <c r="M565" s="16" t="n"/>
      <c r="N565" s="16" t="n"/>
      <c r="O565" s="16" t="n"/>
      <c r="P565" s="16" t="n"/>
      <c r="Q565" s="16" t="n"/>
      <c r="R565" s="16" t="n"/>
      <c r="S565" s="16" t="n"/>
      <c r="T565" s="16" t="n"/>
      <c r="U565" s="16" t="n"/>
      <c r="V565" s="16" t="n"/>
      <c r="W565" s="16" t="n"/>
      <c r="X565" s="16" t="n"/>
      <c r="Y565" s="16" t="n"/>
      <c r="Z565" s="16" t="n"/>
      <c r="AA565" s="16" t="n"/>
    </row>
    <row r="566">
      <c r="A566" s="16" t="n"/>
      <c r="B566" s="16" t="n"/>
      <c r="C566" s="16" t="n"/>
      <c r="D566" s="16" t="n"/>
      <c r="E566" s="16" t="n"/>
      <c r="F566" s="16" t="n"/>
      <c r="G566" s="16" t="n"/>
      <c r="H566" s="16" t="n"/>
      <c r="I566" s="16" t="n"/>
      <c r="J566" s="16" t="n"/>
      <c r="K566" s="16" t="n"/>
      <c r="L566" s="16" t="n"/>
      <c r="M566" s="16" t="n"/>
      <c r="N566" s="16" t="n"/>
      <c r="O566" s="16" t="n"/>
      <c r="P566" s="16" t="n"/>
      <c r="Q566" s="16" t="n"/>
      <c r="R566" s="16" t="n"/>
      <c r="S566" s="16" t="n"/>
      <c r="T566" s="16" t="n"/>
      <c r="U566" s="16" t="n"/>
      <c r="V566" s="16" t="n"/>
      <c r="W566" s="16" t="n"/>
      <c r="X566" s="16" t="n"/>
      <c r="Y566" s="16" t="n"/>
      <c r="Z566" s="16" t="n"/>
      <c r="AA566" s="16" t="n"/>
    </row>
    <row r="567">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c r="AA567" s="16" t="n"/>
    </row>
    <row r="56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c r="AA568" s="16" t="n"/>
    </row>
    <row r="569">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c r="AA569" s="16" t="n"/>
    </row>
    <row r="570">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c r="AA570" s="16" t="n"/>
    </row>
    <row r="571">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c r="AA571" s="16" t="n"/>
    </row>
    <row r="572">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c r="AA572" s="16" t="n"/>
    </row>
    <row r="573">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c r="AA573" s="16" t="n"/>
    </row>
    <row r="574">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c r="AA574" s="16" t="n"/>
    </row>
    <row r="575">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c r="AA575" s="16" t="n"/>
    </row>
    <row r="576">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c r="AA576" s="16" t="n"/>
    </row>
    <row r="577">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c r="AA577" s="16" t="n"/>
    </row>
    <row r="57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c r="AA578" s="16" t="n"/>
    </row>
    <row r="579">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c r="AA579" s="16" t="n"/>
    </row>
    <row r="580">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c r="AA580" s="16" t="n"/>
    </row>
    <row r="581">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c r="AA581" s="16" t="n"/>
    </row>
    <row r="582">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c r="AA582" s="16" t="n"/>
    </row>
    <row r="583">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c r="AA583" s="16" t="n"/>
    </row>
    <row r="584">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c r="AA584" s="16" t="n"/>
    </row>
    <row r="585">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c r="AA585" s="16" t="n"/>
    </row>
    <row r="586">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c r="AA586" s="16" t="n"/>
    </row>
    <row r="587">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c r="AA587" s="16" t="n"/>
    </row>
    <row r="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c r="AA588" s="16" t="n"/>
    </row>
    <row r="589">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c r="AA589" s="16" t="n"/>
    </row>
    <row r="590">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c r="AA590" s="16" t="n"/>
    </row>
    <row r="591">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c r="AA591" s="16" t="n"/>
    </row>
    <row r="592">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c r="AA592" s="16" t="n"/>
    </row>
    <row r="593">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c r="AA593" s="16" t="n"/>
    </row>
    <row r="594">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c r="AA594" s="16" t="n"/>
    </row>
    <row r="595">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c r="AA595" s="16" t="n"/>
    </row>
    <row r="596">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c r="AA596" s="16" t="n"/>
    </row>
    <row r="597">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c r="AA597" s="16" t="n"/>
    </row>
    <row r="59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c r="AA598" s="16" t="n"/>
    </row>
    <row r="599">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c r="AA599" s="16" t="n"/>
    </row>
    <row r="600">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c r="AA600" s="16" t="n"/>
    </row>
  </sheetData>
  <autoFilter ref="A2:AA2"/>
  <mergeCells count="1">
    <mergeCell ref="A1:AA1"/>
  </mergeCells>
  <conditionalFormatting sqref="T3:T6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3">
      <formula>"N-A"</formula>
    </cfRule>
  </conditionalFormatting>
  <conditionalFormatting sqref="U3:U600">
    <cfRule type="cellIs" priority="6" operator="equal" dxfId="1">
      <formula>"Critical"</formula>
    </cfRule>
    <cfRule type="cellIs" priority="7" operator="equal" dxfId="2">
      <formula>"Major"</formula>
    </cfRule>
  </conditionalFormatting>
  <conditionalFormatting sqref="Y3:Y600">
    <cfRule type="cellIs" priority="8" operator="equal" dxfId="0">
      <formula>"PASS"</formula>
    </cfRule>
    <cfRule type="cellIs" priority="9" operator="equal" dxfId="1">
      <formula>"FAIL"</formula>
    </cfRule>
  </conditionalFormatting>
  <dataValidations count="8">
    <dataValidation sqref="E3:E600" showDropDown="0" showInputMessage="0" showErrorMessage="0" allowBlank="1" type="list">
      <formula1>=Lists!$G$2:$G$6</formula1>
    </dataValidation>
    <dataValidation sqref="F3:F600" showDropDown="0" showInputMessage="0" showErrorMessage="0" allowBlank="1" type="list">
      <formula1>=Lists!$H$2:$H$9</formula1>
    </dataValidation>
    <dataValidation sqref="K3:K600" showDropDown="0" showInputMessage="0" showErrorMessage="0" allowBlank="1" type="list">
      <formula1>=Lists!$D$2:$D$29</formula1>
    </dataValidation>
    <dataValidation sqref="M3:M600" showDropDown="0" showInputMessage="0" showErrorMessage="0" allowBlank="1" type="list">
      <formula1>=Lists!$F$2:$F$9</formula1>
    </dataValidation>
    <dataValidation sqref="T3:T600" showDropDown="0" showInputMessage="0" showErrorMessage="0" allowBlank="1" type="list">
      <formula1>=Lists!$A$2:$A$6</formula1>
    </dataValidation>
    <dataValidation sqref="U3:U600" showDropDown="0" showInputMessage="0" showErrorMessage="0" allowBlank="1" type="list">
      <formula1>=Lists!$B$2:$B$5</formula1>
    </dataValidation>
    <dataValidation sqref="V3:V600" showDropDown="0" showInputMessage="0" showErrorMessage="0" allowBlank="1" type="list">
      <formula1>=Lists!$C$2:$C$5</formula1>
    </dataValidation>
    <dataValidation sqref="Y3:Y600" showDropDown="0" showInputMessage="0" showErrorMessage="0" allowBlank="1" type="list">
      <formula1>=Lists!$K$2:$K$4</formula1>
    </dataValidation>
  </dataValidations>
  <pageMargins left="0.75" right="0.75" top="1" bottom="1" header="0.5" footer="0.5"/>
</worksheet>
</file>

<file path=xl/worksheets/sheet4.xml><?xml version="1.0" encoding="utf-8"?>
<worksheet xmlns="http://schemas.openxmlformats.org/spreadsheetml/2006/main">
  <sheetPr>
    <tabColor rgb="009C0006"/>
    <outlinePr summaryBelow="1" summaryRight="1"/>
    <pageSetUpPr/>
  </sheetPr>
  <dimension ref="A1:Z400"/>
  <sheetViews>
    <sheetView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8" customWidth="1" min="6" max="6"/>
    <col width="18" customWidth="1" min="7" max="7"/>
    <col width="22" customWidth="1" min="8" max="8"/>
    <col width="24" customWidth="1" min="9" max="9"/>
    <col width="13" customWidth="1" min="10" max="10"/>
    <col width="40" customWidth="1" min="11" max="11"/>
    <col width="40" customWidth="1" min="12" max="12"/>
    <col width="34" customWidth="1" min="13" max="13"/>
    <col width="34" customWidth="1" min="14" max="14"/>
    <col width="11" customWidth="1" min="15" max="15"/>
    <col width="15" customWidth="1" min="16" max="16"/>
    <col width="15" customWidth="1" min="17" max="17"/>
    <col width="14" customWidth="1" min="18" max="18"/>
    <col width="17" customWidth="1" min="19" max="19"/>
    <col width="22" customWidth="1" min="20" max="20"/>
    <col width="16" customWidth="1" min="21" max="21"/>
    <col width="13" customWidth="1" min="22" max="22"/>
    <col width="14" customWidth="1" min="23" max="23"/>
    <col width="12" customWidth="1" min="24" max="24"/>
    <col width="28" customWidth="1" min="25" max="25"/>
    <col width="26" customWidth="1" min="26" max="26"/>
  </cols>
  <sheetData>
    <row r="1" ht="26" customHeight="1">
      <c r="A1" s="13" t="inlineStr">
        <is>
          <t>DEFECT LOG — one row per bug.  Severity = how bad the damage (tester decides).  Priority = how fast to fix (owner decides).  They are not the same.</t>
        </is>
      </c>
    </row>
    <row r="2" ht="42" customHeight="1">
      <c r="A2" s="14" t="inlineStr">
        <is>
          <t>Defect ID</t>
        </is>
      </c>
      <c r="B2" s="14" t="inlineStr">
        <is>
          <t>Date found</t>
        </is>
      </c>
      <c r="C2" s="14" t="inlineStr">
        <is>
          <t>Found by</t>
        </is>
      </c>
      <c r="D2" s="14" t="inlineStr">
        <is>
          <t>Linked Test ID</t>
        </is>
      </c>
      <c r="E2" s="14" t="inlineStr">
        <is>
          <t>Build / Commit</t>
        </is>
      </c>
      <c r="F2" s="14" t="inlineStr">
        <is>
          <t>Module / Feature</t>
        </is>
      </c>
      <c r="G2" s="14" t="inlineStr">
        <is>
          <t>Screen / Page</t>
        </is>
      </c>
      <c r="H2" s="14" t="inlineStr">
        <is>
          <t>Route (URL)</t>
        </is>
      </c>
      <c r="I2" s="14" t="inlineStr">
        <is>
          <t>Element</t>
        </is>
      </c>
      <c r="J2" s="14" t="inlineStr">
        <is>
          <t>Role</t>
        </is>
      </c>
      <c r="K2" s="14" t="inlineStr">
        <is>
          <t>Summary (one line)</t>
        </is>
      </c>
      <c r="L2" s="14" t="inlineStr">
        <is>
          <t>Steps to reproduce</t>
        </is>
      </c>
      <c r="M2" s="14" t="inlineStr">
        <is>
          <t>Expected result</t>
        </is>
      </c>
      <c r="N2" s="14" t="inlineStr">
        <is>
          <t>Actual result</t>
        </is>
      </c>
      <c r="O2" s="14" t="inlineStr">
        <is>
          <t>Severity</t>
        </is>
      </c>
      <c r="P2" s="14" t="inlineStr">
        <is>
          <t>Priority</t>
        </is>
      </c>
      <c r="Q2" s="14" t="inlineStr">
        <is>
          <t>Reproducibility</t>
        </is>
      </c>
      <c r="R2" s="14" t="inlineStr">
        <is>
          <t>Environment</t>
        </is>
      </c>
      <c r="S2" s="14" t="inlineStr">
        <is>
          <t>Browser / Device</t>
        </is>
      </c>
      <c r="T2" s="14" t="inlineStr">
        <is>
          <t>Evidence</t>
        </is>
      </c>
      <c r="U2" s="14" t="inlineStr">
        <is>
          <t>Status</t>
        </is>
      </c>
      <c r="V2" s="14" t="inlineStr">
        <is>
          <t>Assigned to</t>
        </is>
      </c>
      <c r="W2" s="14" t="inlineStr">
        <is>
          <t>Fixed in build</t>
        </is>
      </c>
      <c r="X2" s="14" t="inlineStr">
        <is>
          <t>Date closed</t>
        </is>
      </c>
      <c r="Y2" s="14" t="inlineStr">
        <is>
          <t>Root cause</t>
        </is>
      </c>
      <c r="Z2" s="14" t="inlineStr">
        <is>
          <t>Comments</t>
        </is>
      </c>
    </row>
    <row r="3" ht="92" customHeight="1">
      <c r="A3" s="16" t="inlineStr">
        <is>
          <t>DEF-001</t>
        </is>
      </c>
      <c r="B3" s="16">
        <f>TODAY()</f>
        <v/>
      </c>
      <c r="C3" s="16" t="inlineStr">
        <is>
          <t>Othman</t>
        </is>
      </c>
      <c r="D3" s="16" t="inlineStr">
        <is>
          <t>(raw note 11)</t>
        </is>
      </c>
      <c r="E3" s="16" t="inlineStr">
        <is>
          <t>50d4c48</t>
        </is>
      </c>
      <c r="F3" s="16" t="inlineStr">
        <is>
          <t>Landing &amp; Login</t>
        </is>
      </c>
      <c r="G3" s="16" t="inlineStr">
        <is>
          <t>Login</t>
        </is>
      </c>
      <c r="H3" s="16" t="inlineStr">
        <is>
          <t>#/login</t>
        </is>
      </c>
      <c r="I3" s="16" t="inlineStr">
        <is>
          <t>Whole page</t>
        </is>
      </c>
      <c r="J3" s="16" t="inlineStr">
        <is>
          <t>all</t>
        </is>
      </c>
      <c r="K3" s="16" t="inlineStr">
        <is>
          <t>The login page does not fit the browser window</t>
        </is>
      </c>
      <c r="L3" s="16" t="inlineStr">
        <is>
          <t>1. Open #/login on a desktop browser
2. Observe the page against the window edges
3. Resize the window</t>
        </is>
      </c>
      <c r="M3" s="16" t="inlineStr">
        <is>
          <t>The page fits the viewport at every width, with no horizontal scrollbar and no clipped content.</t>
        </is>
      </c>
      <c r="N3" s="16" t="inlineStr">
        <is>
          <t>The layout does not fit the browser window; the page reads as broken.</t>
        </is>
      </c>
      <c r="O3" s="16" t="inlineStr">
        <is>
          <t>Major</t>
        </is>
      </c>
      <c r="P3" s="16" t="inlineStr">
        <is>
          <t>P2 - High</t>
        </is>
      </c>
      <c r="Q3" s="16" t="inlineStr">
        <is>
          <t>Always</t>
        </is>
      </c>
      <c r="R3" s="16" t="inlineStr">
        <is>
          <t>edu.kogiagroup.com</t>
        </is>
      </c>
      <c r="S3" s="16" t="inlineStr">
        <is>
          <t>Desktop Chrome</t>
        </is>
      </c>
      <c r="T3" s="16" t="inlineStr"/>
      <c r="U3" s="21" t="inlineStr">
        <is>
          <t>CLOSED</t>
        </is>
      </c>
      <c r="V3" s="16" t="inlineStr">
        <is>
          <t>Othman</t>
        </is>
      </c>
      <c r="W3" s="16" t="inlineStr">
        <is>
          <t>42601e8</t>
        </is>
      </c>
      <c r="X3" s="16" t="inlineStr">
        <is>
          <t>2026-07-22</t>
        </is>
      </c>
      <c r="Y3" s="16" t="inlineStr"/>
      <c r="Z3" s="16" t="inlineStr">
        <is>
          <t>Majeur → confirmé MOBILE UNIQUEMENT. Aucun débordement sur ordinateur (1280/1366/1440/1920 = 0). Cause : halo décoratif de 440px sans overflow-hidden. Le grief « ne rentre pas » sur grand écran est un sujet de DESIGN, suivi en CR-011.</t>
        </is>
      </c>
    </row>
    <row r="4" ht="92" customHeight="1">
      <c r="A4" s="16" t="inlineStr">
        <is>
          <t>DEF-002</t>
        </is>
      </c>
      <c r="B4" s="16">
        <f>TODAY()</f>
        <v/>
      </c>
      <c r="C4" s="16" t="inlineStr">
        <is>
          <t>Othman</t>
        </is>
      </c>
      <c r="D4" s="16" t="inlineStr">
        <is>
          <t>(raw note 15)</t>
        </is>
      </c>
      <c r="E4" s="16" t="inlineStr">
        <is>
          <t>50d4c48</t>
        </is>
      </c>
      <c r="F4" s="16" t="inlineStr">
        <is>
          <t>Dashboard</t>
        </is>
      </c>
      <c r="G4" s="16" t="inlineStr">
        <is>
          <t>Dashboard</t>
        </is>
      </c>
      <c r="H4" s="16" t="inlineStr">
        <is>
          <t>#/app</t>
        </is>
      </c>
      <c r="I4" s="16" t="inlineStr">
        <is>
          <t>Several tiles / elements</t>
        </is>
      </c>
      <c r="J4" s="16" t="inlineStr">
        <is>
          <t>owner</t>
        </is>
      </c>
      <c r="K4" s="16" t="inlineStr">
        <is>
          <t>Several dashboard elements are not clickable</t>
        </is>
      </c>
      <c r="L4" s="16" t="inlineStr">
        <is>
          <t>1. Log in as owner@kogia.tn
2. Open #/app
3. Click each tile, figure and card in turn
4. Note every one that does nothing</t>
        </is>
      </c>
      <c r="M4" s="16" t="inlineStr">
        <is>
          <t>Every tile and figure either opens a modal, navigates somewhere, or is visibly non-interactive by design.</t>
        </is>
      </c>
      <c r="N4" s="16" t="inlineStr">
        <is>
          <t>Some elements look clickable but do nothing when clicked.</t>
        </is>
      </c>
      <c r="O4" s="16" t="inlineStr">
        <is>
          <t>Major</t>
        </is>
      </c>
      <c r="P4" s="16" t="inlineStr">
        <is>
          <t>P2 - High</t>
        </is>
      </c>
      <c r="Q4" s="16" t="inlineStr">
        <is>
          <t>Always</t>
        </is>
      </c>
      <c r="R4" s="16" t="inlineStr">
        <is>
          <t>edu.kogiagroup.com</t>
        </is>
      </c>
      <c r="S4" s="16" t="inlineStr">
        <is>
          <t>Desktop Chrome</t>
        </is>
      </c>
      <c r="T4" s="16" t="inlineStr"/>
      <c r="U4" s="21" t="inlineStr">
        <is>
          <t>CLOSED</t>
        </is>
      </c>
      <c r="V4" s="16" t="inlineStr">
        <is>
          <t>Othman</t>
        </is>
      </c>
      <c r="W4" s="16" t="inlineStr">
        <is>
          <t>42601e8</t>
        </is>
      </c>
      <c r="X4" s="16" t="inlineStr">
        <is>
          <t>2026-07-22</t>
        </is>
      </c>
      <c r="Y4" s="16" t="inlineStr"/>
      <c r="Z4" s="16" t="inlineStr">
        <is>
          <t>Requalifié. Aucun élément TROMPEUR sur les 7 tableaux de bord. Réel : 3 chiffres de la console plateforme sans `to` ni `onClick` → rendus en &lt;div&gt; inerte. Les 4 mènent désormais à #/app/schools (vérifié en production).</t>
        </is>
      </c>
    </row>
    <row r="5" ht="92" customHeight="1">
      <c r="A5" s="16" t="inlineStr">
        <is>
          <t>DEF-003</t>
        </is>
      </c>
      <c r="B5" s="16">
        <f>TODAY()</f>
        <v/>
      </c>
      <c r="C5" s="16" t="inlineStr">
        <is>
          <t>Othman</t>
        </is>
      </c>
      <c r="D5" s="16" t="inlineStr">
        <is>
          <t>(raw note 6)</t>
        </is>
      </c>
      <c r="E5" s="16" t="inlineStr">
        <is>
          <t>50d4c48</t>
        </is>
      </c>
      <c r="F5" s="16" t="inlineStr">
        <is>
          <t>Landing &amp; Login</t>
        </is>
      </c>
      <c r="G5" s="16" t="inlineStr">
        <is>
          <t>Landing</t>
        </is>
      </c>
      <c r="H5" s="16" t="inlineStr">
        <is>
          <t>#/</t>
        </is>
      </c>
      <c r="I5" s="16" t="inlineStr">
        <is>
          <t>Anchor nav: Deux mondes / Modules / Vos données / Tarifs / FAQ</t>
        </is>
      </c>
      <c r="J5" s="16" t="inlineStr">
        <is>
          <t>public</t>
        </is>
      </c>
      <c r="K5" s="16" t="inlineStr">
        <is>
          <t>Landing anchor navigation gives no feedback that anything happened</t>
        </is>
      </c>
      <c r="L5" s="16" t="inlineStr">
        <is>
          <t>1. Open the landing page
2. Click 'Modules' in the nav
3. Observe the nav and the URL</t>
        </is>
      </c>
      <c r="M5" s="16" t="inlineStr">
        <is>
          <t>The clicked item is visibly marked as active and the user can tell the view changed.</t>
        </is>
      </c>
      <c r="N5" s="16" t="inlineStr">
        <is>
          <t>The page only scrolls; nothing in the nav changes, so the click feels like it did nothing.</t>
        </is>
      </c>
      <c r="O5" s="16" t="inlineStr">
        <is>
          <t>Minor</t>
        </is>
      </c>
      <c r="P5" s="16" t="inlineStr">
        <is>
          <t>P3 - Medium</t>
        </is>
      </c>
      <c r="Q5" s="16" t="inlineStr">
        <is>
          <t>Always</t>
        </is>
      </c>
      <c r="R5" s="16" t="inlineStr">
        <is>
          <t>edu.kogiagroup.com</t>
        </is>
      </c>
      <c r="S5" s="16" t="inlineStr">
        <is>
          <t>Desktop Chrome</t>
        </is>
      </c>
      <c r="T5" s="16" t="inlineStr"/>
      <c r="U5" s="21" t="inlineStr">
        <is>
          <t>CLOSED</t>
        </is>
      </c>
      <c r="V5" s="16" t="inlineStr">
        <is>
          <t>Othman</t>
        </is>
      </c>
      <c r="W5" s="16" t="inlineStr">
        <is>
          <t>42601e8</t>
        </is>
      </c>
      <c r="X5" s="16" t="inlineStr">
        <is>
          <t>2026-07-22</t>
        </is>
      </c>
      <c r="Y5" s="16" t="inlineStr"/>
      <c r="Z5" s="16" t="inlineStr">
        <is>
          <t>Requalifié MINEUR → MAJEUR. Les liens ne « défilaient » pas : ils ne faisaient RIEN. Incompatibilité &lt;a href=#ancre&gt; / HashRouter — 9 liens morts. Corrigé + état actif ajouté. Vérifié en production : 0 → 1979.</t>
        </is>
      </c>
    </row>
    <row r="6" ht="92" customHeight="1">
      <c r="A6" s="16" t="inlineStr">
        <is>
          <t>DEF-004</t>
        </is>
      </c>
      <c r="B6" s="16">
        <f>TODAY()</f>
        <v/>
      </c>
      <c r="C6" s="16" t="inlineStr">
        <is>
          <t>Othman</t>
        </is>
      </c>
      <c r="D6" s="16" t="inlineStr">
        <is>
          <t>(raw note 19)</t>
        </is>
      </c>
      <c r="E6" s="16" t="inlineStr">
        <is>
          <t>50d4c48</t>
        </is>
      </c>
      <c r="F6" s="16" t="inlineStr">
        <is>
          <t>Dashboard</t>
        </is>
      </c>
      <c r="G6" s="16" t="inlineStr">
        <is>
          <t>Dashboard</t>
        </is>
      </c>
      <c r="H6" s="16" t="inlineStr">
        <is>
          <t>#/app</t>
        </is>
      </c>
      <c r="I6" s="16" t="inlineStr">
        <is>
          <t>'Coreon Intelligence' heading block</t>
        </is>
      </c>
      <c r="J6" s="16" t="inlineStr">
        <is>
          <t>admin</t>
        </is>
      </c>
      <c r="K6" s="16" t="inlineStr">
        <is>
          <t>'Coreon Intelligence — ce que vos données disent cette semaine' is not aligned on one line</t>
        </is>
      </c>
      <c r="L6" s="16" t="inlineStr">
        <is>
          <t>1. Log in as admin@alnour.tn
2. Open #/app
3. Look at the Coreon Intelligence heading</t>
        </is>
      </c>
      <c r="M6" s="16" t="inlineStr">
        <is>
          <t>The title and its subtitle sit on a single consistent baseline.</t>
        </is>
      </c>
      <c r="N6" s="16" t="inlineStr">
        <is>
          <t>There is a small vertical drop between the two parts; they do not line up.</t>
        </is>
      </c>
      <c r="O6" s="16" t="inlineStr">
        <is>
          <t>Trivial</t>
        </is>
      </c>
      <c r="P6" s="16" t="inlineStr">
        <is>
          <t>P3 - Medium</t>
        </is>
      </c>
      <c r="Q6" s="16" t="inlineStr">
        <is>
          <t>Always</t>
        </is>
      </c>
      <c r="R6" s="16" t="inlineStr">
        <is>
          <t>edu.kogiagroup.com</t>
        </is>
      </c>
      <c r="S6" s="16" t="inlineStr">
        <is>
          <t>Desktop Chrome</t>
        </is>
      </c>
      <c r="T6" s="16" t="inlineStr"/>
      <c r="U6" s="21" t="inlineStr">
        <is>
          <t>CLOSED</t>
        </is>
      </c>
      <c r="V6" s="16" t="inlineStr">
        <is>
          <t>Othman</t>
        </is>
      </c>
      <c r="W6" s="16" t="inlineStr">
        <is>
          <t>42601e8</t>
        </is>
      </c>
      <c r="X6" s="16" t="inlineStr">
        <is>
          <t>2026-07-22</t>
        </is>
      </c>
      <c r="Y6" s="16" t="inlineStr"/>
      <c r="Z6" s="16" t="inlineStr">
        <is>
          <t>Confirmé. Cause : la ligne de base d'un conteneur flex vient de son premier élément ; ici une icône SVG, sans ligne de base. Icône passée en inline.</t>
        </is>
      </c>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row>
  </sheetData>
  <autoFilter ref="A2:Z2"/>
  <mergeCells count="1">
    <mergeCell ref="A1:Z1"/>
  </mergeCells>
  <conditionalFormatting sqref="O3:O400">
    <cfRule type="cellIs" priority="1" operator="equal" dxfId="1">
      <formula>"Critical"</formula>
    </cfRule>
    <cfRule type="cellIs" priority="2" operator="equal" dxfId="2">
      <formula>"Major"</formula>
    </cfRule>
    <cfRule type="cellIs" priority="3" operator="equal" dxfId="3">
      <formula>"Minor"</formula>
    </cfRule>
    <cfRule type="cellIs" priority="4" operator="equal" dxfId="3">
      <formula>"Trivial"</formula>
    </cfRule>
  </conditionalFormatting>
  <conditionalFormatting sqref="U3:U400">
    <cfRule type="cellIs" priority="5" operator="equal" dxfId="0">
      <formula>"CLOSED"</formula>
    </cfRule>
    <cfRule type="cellIs" priority="6" operator="equal" dxfId="0">
      <formula>"FIXED"</formula>
    </cfRule>
    <cfRule type="cellIs" priority="7" operator="equal" dxfId="1">
      <formula>"NEW"</formula>
    </cfRule>
    <cfRule type="cellIs" priority="8" operator="equal" dxfId="1">
      <formula>"OPEN"</formula>
    </cfRule>
    <cfRule type="cellIs" priority="9" operator="equal" dxfId="1">
      <formula>"REOPENED"</formula>
    </cfRule>
    <cfRule type="cellIs" priority="10" operator="equal" dxfId="2">
      <formula>"IN PROGRESS"</formula>
    </cfRule>
    <cfRule type="cellIs" priority="11" operator="equal" dxfId="2">
      <formula>"READY TO RETEST"</formula>
    </cfRule>
  </conditionalFormatting>
  <dataValidations count="7">
    <dataValidation sqref="O3:O400" showDropDown="0" showInputMessage="0" showErrorMessage="0" allowBlank="1" type="list">
      <formula1>=Lists!$B$2:$B$5</formula1>
    </dataValidation>
    <dataValidation sqref="P3:P400" showDropDown="0" showInputMessage="0" showErrorMessage="0" allowBlank="1" type="list">
      <formula1>=Lists!$C$2:$C$5</formula1>
    </dataValidation>
    <dataValidation sqref="Q3:Q400" showDropDown="0" showInputMessage="0" showErrorMessage="0" allowBlank="1" type="list">
      <formula1>=Lists!$J$2:$J$5</formula1>
    </dataValidation>
    <dataValidation sqref="R3:R400" showDropDown="0" showInputMessage="0" showErrorMessage="0" allowBlank="1" type="list">
      <formula1>=Lists!$G$2:$G$6</formula1>
    </dataValidation>
    <dataValidation sqref="S3:S400" showDropDown="0" showInputMessage="0" showErrorMessage="0" allowBlank="1" type="list">
      <formula1>=Lists!$H$2:$H$9</formula1>
    </dataValidation>
    <dataValidation sqref="U3:U400" showDropDown="0" showInputMessage="0" showErrorMessage="0" allowBlank="1" type="list">
      <formula1>=Lists!$I$2:$I$11</formula1>
    </dataValidation>
    <dataValidation sqref="J3:J400" showDropDown="0" showInputMessage="0" showErrorMessage="0" allowBlank="1" type="list">
      <formula1>=Lists!$F$2:$F$9</formula1>
    </dataValidation>
  </dataValidations>
  <pageMargins left="0.75" right="0.75" top="1" bottom="1" header="0.5" footer="0.5"/>
</worksheet>
</file>

<file path=xl/worksheets/sheet5.xml><?xml version="1.0" encoding="utf-8"?>
<worksheet xmlns="http://schemas.openxmlformats.org/spreadsheetml/2006/main">
  <sheetPr>
    <tabColor rgb="004361D0"/>
    <outlinePr summaryBelow="1" summaryRight="1"/>
    <pageSetUpPr/>
  </sheetPr>
  <dimension ref="A1:T149"/>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2" customWidth="1" min="2" max="2"/>
    <col width="11" customWidth="1" min="3" max="3"/>
    <col width="10" customWidth="1" min="4" max="4"/>
    <col width="15" customWidth="1" min="5" max="5"/>
    <col width="22" customWidth="1" min="6" max="6"/>
    <col width="34" customWidth="1" min="7" max="7"/>
    <col width="52" customWidth="1" min="8" max="8"/>
    <col width="40" customWidth="1" min="9" max="9"/>
    <col width="20" customWidth="1" min="10" max="10"/>
    <col width="26" customWidth="1" min="11" max="11"/>
    <col width="16" customWidth="1" min="12" max="12"/>
    <col width="15" customWidth="1" min="13" max="13"/>
    <col width="9" customWidth="1" min="14" max="14"/>
    <col width="14" customWidth="1" min="15" max="15"/>
    <col width="14" customWidth="1" min="16" max="16"/>
    <col width="12" customWidth="1" min="17" max="17"/>
    <col width="56" customWidth="1" min="18" max="18"/>
    <col width="12" customWidth="1" min="19" max="19"/>
    <col width="26" customWidth="1" min="20" max="20"/>
  </cols>
  <sheetData>
    <row r="1" ht="26" customHeight="1">
      <c r="A1" s="13" t="inlineStr">
        <is>
          <t>CHANGE REQUEST LOG — things to ADD or CHANGE (the product works, but it should be different). A defect is 'it does not do what it should'. A change request is 'what it should do must change'.</t>
        </is>
      </c>
    </row>
    <row r="2" ht="42" customHeight="1">
      <c r="A2" s="14" t="inlineStr">
        <is>
          <t>CR ID</t>
        </is>
      </c>
      <c r="B2" s="14" t="inlineStr">
        <is>
          <t>Date raised</t>
        </is>
      </c>
      <c r="C2" s="14" t="inlineStr">
        <is>
          <t>Raised by</t>
        </is>
      </c>
      <c r="D2" s="14" t="inlineStr">
        <is>
          <t>Raw note #</t>
        </is>
      </c>
      <c r="E2" s="14" t="inlineStr">
        <is>
          <t>Type</t>
        </is>
      </c>
      <c r="F2" s="14" t="inlineStr">
        <is>
          <t>Epic / Theme</t>
        </is>
      </c>
      <c r="G2" s="14" t="inlineStr">
        <is>
          <t>Title</t>
        </is>
      </c>
      <c r="H2" s="14" t="inlineStr">
        <is>
          <t>What was asked (your words, tidied)</t>
        </is>
      </c>
      <c r="I2" s="14" t="inlineStr">
        <is>
          <t>Why it matters</t>
        </is>
      </c>
      <c r="J2" s="14" t="inlineStr">
        <is>
          <t>Area / Module</t>
        </is>
      </c>
      <c r="K2" s="14" t="inlineStr">
        <is>
          <t>Route (URL)</t>
        </is>
      </c>
      <c r="L2" s="14" t="inlineStr">
        <is>
          <t>Roles affected</t>
        </is>
      </c>
      <c r="M2" s="14" t="inlineStr">
        <is>
          <t>Priority</t>
        </is>
      </c>
      <c r="N2" s="14" t="inlineStr">
        <is>
          <t>Effort</t>
        </is>
      </c>
      <c r="O2" s="14" t="inlineStr">
        <is>
          <t>Status</t>
        </is>
      </c>
      <c r="P2" s="14" t="inlineStr">
        <is>
          <t>Target release</t>
        </is>
      </c>
      <c r="Q2" s="14" t="inlineStr">
        <is>
          <t>Depends on</t>
        </is>
      </c>
      <c r="R2" s="14" t="inlineStr">
        <is>
          <t>Acceptance criteria (how we know it is done)</t>
        </is>
      </c>
      <c r="S2" s="14" t="inlineStr">
        <is>
          <t>Linked defect</t>
        </is>
      </c>
      <c r="T2" s="14" t="inlineStr">
        <is>
          <t>Comments</t>
        </is>
      </c>
    </row>
    <row r="3" ht="108" customHeight="1">
      <c r="A3" s="16" t="inlineStr">
        <is>
          <t>CR-001</t>
        </is>
      </c>
      <c r="B3" s="16">
        <f>TODAY()</f>
        <v/>
      </c>
      <c r="C3" s="16" t="inlineStr">
        <is>
          <t>Othman</t>
        </is>
      </c>
      <c r="D3" s="16" t="n">
        <v>1</v>
      </c>
      <c r="E3" s="16" t="inlineStr">
        <is>
          <t>Content</t>
        </is>
      </c>
      <c r="F3" s="16" t="inlineStr">
        <is>
          <t>Content &amp; tone</t>
        </is>
      </c>
      <c r="G3" s="17" t="inlineStr">
        <is>
          <t>Remove the em dash (—) from all product copy</t>
        </is>
      </c>
      <c r="H3" s="16" t="inlineStr">
        <is>
          <t>Remove the '—' character everywhere it appears in product content.</t>
        </is>
      </c>
      <c r="I3" s="16" t="inlineStr">
        <is>
          <t>Consistent typography; the em dash reads as machine-written and is awkward in French and Arabic.</t>
        </is>
      </c>
      <c r="J3" s="16" t="inlineStr">
        <is>
          <t>All modules</t>
        </is>
      </c>
      <c r="K3" s="16" t="inlineStr">
        <is>
          <t>Global</t>
        </is>
      </c>
      <c r="L3" s="16" t="inlineStr">
        <is>
          <t>all</t>
        </is>
      </c>
      <c r="M3" s="16" t="inlineStr">
        <is>
          <t>P3 - Medium</t>
        </is>
      </c>
      <c r="N3" s="16" t="inlineStr">
        <is>
          <t>S</t>
        </is>
      </c>
      <c r="O3" s="16" t="inlineStr">
        <is>
          <t>DONE</t>
        </is>
      </c>
      <c r="P3" s="16" t="inlineStr">
        <is>
          <t>2026-07-23</t>
        </is>
      </c>
      <c r="Q3" s="16" t="inlineStr"/>
      <c r="R3" s="16" t="inlineStr">
        <is>
          <t>Grep the whole repo (app, core, mobile, i18n) for '—'. Zero occurrences remain in user-facing strings. Both fr and ar locale files verified. No layout breaks from the replacement punctuation.</t>
        </is>
      </c>
      <c r="S3" s="16" t="inlineStr"/>
      <c r="T3" s="16" t="inlineStr">
        <is>
          <t>LIVRÉ 2026-07-23. La passe de contenu (commit affa9ed) avait retiré 535 tirets du FR+AR ; il restait 3 tirets dans des chaînes RÉELLEMENT affichées : opsprofile.js (mode client) et 2 libellés d'autorité (locales.js BH/QA). Nettoyés (· et virgule). Recherche exhaustive : plus AUCUN tiret cadratin dans une chaîne rendue — il n'en reste que dans les commentaires de code (volontairement laissés). Critère d'acceptation atteint.</t>
        </is>
      </c>
    </row>
    <row r="4" ht="108" customHeight="1">
      <c r="A4" s="16" t="inlineStr">
        <is>
          <t>CR-002</t>
        </is>
      </c>
      <c r="B4" s="16">
        <f>TODAY()</f>
        <v/>
      </c>
      <c r="C4" s="16" t="inlineStr">
        <is>
          <t>Othman</t>
        </is>
      </c>
      <c r="D4" s="16" t="n">
        <v>2</v>
      </c>
      <c r="E4" s="16" t="inlineStr">
        <is>
          <t>Content</t>
        </is>
      </c>
      <c r="F4" s="16" t="inlineStr">
        <is>
          <t>Landing &amp; login</t>
        </is>
      </c>
      <c r="G4" s="17" t="inlineStr">
        <is>
          <t>Clarify or rename the 'Deux mondes' section</t>
        </is>
      </c>
      <c r="H4" s="16" t="inlineStr">
        <is>
          <t>The section title 'Deux mondes' is not self-explanatory; a visitor cannot tell what it means.</t>
        </is>
      </c>
      <c r="I4" s="16" t="inlineStr">
        <is>
          <t>The landing page has about five seconds to be understood. An unclear heading loses the visitor.</t>
        </is>
      </c>
      <c r="J4" s="16" t="inlineStr">
        <is>
          <t>Landing</t>
        </is>
      </c>
      <c r="K4" s="16" t="inlineStr">
        <is>
          <t>https://edu.kogiagroup.com/</t>
        </is>
      </c>
      <c r="L4" s="16" t="inlineStr">
        <is>
          <t>public</t>
        </is>
      </c>
      <c r="M4" s="16" t="inlineStr">
        <is>
          <t>P2 - High</t>
        </is>
      </c>
      <c r="N4" s="16" t="inlineStr">
        <is>
          <t>S</t>
        </is>
      </c>
      <c r="O4" s="21" t="inlineStr">
        <is>
          <t>DONE</t>
        </is>
      </c>
      <c r="P4" s="16" t="inlineStr">
        <is>
          <t>2026-07-23</t>
        </is>
      </c>
      <c r="Q4" s="16" t="inlineStr"/>
      <c r="R4" s="16" t="inlineStr">
        <is>
          <t>A reader who has never seen Coreon understands what the section offers from the heading alone, without scrolling. Tested on three people who do not know the product.</t>
        </is>
      </c>
      <c r="S4" s="16" t="inlineStr"/>
      <c r="T4" s="16" t="inlineStr">
        <is>
          <t>Le libellé de menu « Deux mondes » devient « Crèche &amp; primaire ». Déployé.</t>
        </is>
      </c>
    </row>
    <row r="5" ht="108" customHeight="1">
      <c r="A5" s="16" t="inlineStr">
        <is>
          <t>CR-003</t>
        </is>
      </c>
      <c r="B5" s="16">
        <f>TODAY()</f>
        <v/>
      </c>
      <c r="C5" s="16" t="inlineStr">
        <is>
          <t>Othman</t>
        </is>
      </c>
      <c r="D5" s="16" t="n">
        <v>3</v>
      </c>
      <c r="E5" s="16" t="inlineStr">
        <is>
          <t>Enhancement</t>
        </is>
      </c>
      <c r="F5" s="16" t="inlineStr">
        <is>
          <t>Internationalisation</t>
        </is>
      </c>
      <c r="G5" s="17" t="inlineStr">
        <is>
          <t>Show pricing in EUR instead of TND</t>
        </is>
      </c>
      <c r="H5" s="16" t="inlineStr">
        <is>
          <t>Convert the pricing cards to euro.</t>
        </is>
      </c>
      <c r="I5" s="16" t="inlineStr">
        <is>
          <t>Required for the European positioning; TND signals a local-only product.</t>
        </is>
      </c>
      <c r="J5" s="16" t="inlineStr">
        <is>
          <t>Landing / Settings</t>
        </is>
      </c>
      <c r="K5" s="16" t="inlineStr">
        <is>
          <t>https://edu.kogiagroup.com/</t>
        </is>
      </c>
      <c r="L5" s="16" t="inlineStr">
        <is>
          <t>public, schooladmin</t>
        </is>
      </c>
      <c r="M5" s="16" t="inlineStr">
        <is>
          <t>P2 - High</t>
        </is>
      </c>
      <c r="N5" s="16" t="inlineStr">
        <is>
          <t>M</t>
        </is>
      </c>
      <c r="O5" s="21" t="inlineStr">
        <is>
          <t>DONE</t>
        </is>
      </c>
      <c r="P5" s="16" t="inlineStr">
        <is>
          <t>2026-07-23</t>
        </is>
      </c>
      <c r="Q5" s="16" t="inlineStr"/>
      <c r="R5" s="16" t="inlineStr">
        <is>
          <t>Pricing displays in EUR with correct formatting. Currency is driven by the settings currency field, not hard-coded. Existing TND schools are unaffected.</t>
        </is>
      </c>
      <c r="S5" s="16" t="inlineStr"/>
      <c r="T5" s="16" t="inlineStr">
        <is>
          <t>Tarifs de la page d’accueil en euros (plus de TND). Déployé.</t>
        </is>
      </c>
    </row>
    <row r="6" ht="108" customHeight="1">
      <c r="A6" s="16" t="inlineStr">
        <is>
          <t>CR-004</t>
        </is>
      </c>
      <c r="B6" s="16">
        <f>TODAY()</f>
        <v/>
      </c>
      <c r="C6" s="16" t="inlineStr">
        <is>
          <t>Othman</t>
        </is>
      </c>
      <c r="D6" s="16" t="n">
        <v>4</v>
      </c>
      <c r="E6" s="16" t="inlineStr">
        <is>
          <t>Enhancement</t>
        </is>
      </c>
      <c r="F6" s="16" t="inlineStr">
        <is>
          <t>Internationalisation</t>
        </is>
      </c>
      <c r="G6" s="17" t="inlineStr">
        <is>
          <t>Remove Tunisia-specific content from the product</t>
        </is>
      </c>
      <c r="H6" s="16" t="inlineStr">
        <is>
          <t>Eliminate the Tunisian framing from all product content and elements.</t>
        </is>
      </c>
      <c r="I6" s="16" t="inlineStr">
        <is>
          <t>Positions the product for an international market rather than one country.</t>
        </is>
      </c>
      <c r="J6" s="16" t="inlineStr">
        <is>
          <t>All modules</t>
        </is>
      </c>
      <c r="K6" s="16" t="inlineStr">
        <is>
          <t>Global</t>
        </is>
      </c>
      <c r="L6" s="16" t="inlineStr">
        <is>
          <t>all</t>
        </is>
      </c>
      <c r="M6" s="16" t="inlineStr">
        <is>
          <t>P2 - High</t>
        </is>
      </c>
      <c r="N6" s="16" t="inlineStr">
        <is>
          <t>L</t>
        </is>
      </c>
      <c r="O6" s="21" t="inlineStr">
        <is>
          <t>DONE</t>
        </is>
      </c>
      <c r="P6" s="16" t="inlineStr">
        <is>
          <t>2026-07-23</t>
        </is>
      </c>
      <c r="Q6" s="16" t="inlineStr"/>
      <c r="R6" s="16" t="inlineStr">
        <is>
          <t>No Tunisian governorate list, CIN-only identity, TND-only currency, Tunisia-specific request types or '© 2026 Tunisie' footer is forced on a new school. Each becomes a configurable locale pack. Tunisia remains available as one option, not the default assumption.</t>
        </is>
      </c>
      <c r="S6" s="16" t="inlineStr"/>
      <c r="T6" s="16" t="inlineStr">
        <is>
          <t>core/src/locales.js : packs de pays. tunisia.js délègue au pack actif. La Tunisie reste le défaut, intacte. Déployé.</t>
        </is>
      </c>
    </row>
    <row r="7" ht="108" customHeight="1">
      <c r="A7" s="16" t="inlineStr">
        <is>
          <t>CR-005</t>
        </is>
      </c>
      <c r="B7" s="16">
        <f>TODAY()</f>
        <v/>
      </c>
      <c r="C7" s="16" t="inlineStr">
        <is>
          <t>Othman</t>
        </is>
      </c>
      <c r="D7" s="16" t="n">
        <v>5</v>
      </c>
      <c r="E7" s="16" t="inlineStr">
        <is>
          <t>Epic</t>
        </is>
      </c>
      <c r="F7" s="16" t="inlineStr">
        <is>
          <t>Internationalisation</t>
        </is>
      </c>
      <c r="G7" s="17" t="inlineStr">
        <is>
          <t>Reposition Coreon EDU for the European market</t>
        </is>
      </c>
      <c r="H7" s="16" t="inlineStr">
        <is>
          <t>Redirect the product to be international, European-facing.</t>
        </is>
      </c>
      <c r="I7" s="16" t="inlineStr">
        <is>
          <t>Strategic direction for the whole product; drives CR-003, CR-004 and the compliance work.</t>
        </is>
      </c>
      <c r="J7" s="16" t="inlineStr">
        <is>
          <t>All modules</t>
        </is>
      </c>
      <c r="K7" s="16" t="inlineStr">
        <is>
          <t>Global</t>
        </is>
      </c>
      <c r="L7" s="16" t="inlineStr">
        <is>
          <t>all</t>
        </is>
      </c>
      <c r="M7" s="16" t="inlineStr">
        <is>
          <t>P1 - Immediate</t>
        </is>
      </c>
      <c r="N7" s="16" t="inlineStr">
        <is>
          <t>XL</t>
        </is>
      </c>
      <c r="O7" s="21" t="inlineStr">
        <is>
          <t>DONE</t>
        </is>
      </c>
      <c r="P7" s="16" t="inlineStr">
        <is>
          <t>2026-07-23</t>
        </is>
      </c>
      <c r="Q7" s="16" t="inlineStr"/>
      <c r="R7" s="16" t="inlineStr">
        <is>
          <t>A written positioning decision exists: target countries, languages, currency, and the compliance regime (GDPR rather than loi 2004-63). Every child CR references it. Landing copy, pricing, identity fields and legal text all follow from it.</t>
        </is>
      </c>
      <c r="S7" s="16" t="inlineStr"/>
      <c r="T7" s="16" t="inlineStr">
        <is>
          <t>Sélecteur de PAYS dans les paramètres (Tunisie/France/International) pilotant régions, pièce d’identité, cadre légal, devise. Déployé.</t>
        </is>
      </c>
    </row>
    <row r="8" ht="108" customHeight="1">
      <c r="A8" s="16" t="inlineStr">
        <is>
          <t>CR-006</t>
        </is>
      </c>
      <c r="B8" s="16">
        <f>TODAY()</f>
        <v/>
      </c>
      <c r="C8" s="16" t="inlineStr">
        <is>
          <t>Othman</t>
        </is>
      </c>
      <c r="D8" s="16" t="n">
        <v>6</v>
      </c>
      <c r="E8" s="16" t="inlineStr">
        <is>
          <t>Enhancement</t>
        </is>
      </c>
      <c r="F8" s="16" t="inlineStr">
        <is>
          <t>Landing &amp; login</t>
        </is>
      </c>
      <c r="G8" s="17" t="inlineStr">
        <is>
          <t>Replace the one-page anchor nav with real pages</t>
        </is>
      </c>
      <c r="H8" s="16" t="inlineStr">
        <is>
          <t>Clicking Deux mondes / Modules / Vos données / Tarifs / FAQ only scrolls the same page. It should feel like navigating to a different place.</t>
        </is>
      </c>
      <c r="I8" s="16" t="inlineStr">
        <is>
          <t>Anchor-only navigation feels unresponsive and gives each topic no shareable URL and no SEO value.</t>
        </is>
      </c>
      <c r="J8" s="16" t="inlineStr">
        <is>
          <t>Landing</t>
        </is>
      </c>
      <c r="K8" s="16" t="inlineStr">
        <is>
          <t>https://edu.kogiagroup.com/</t>
        </is>
      </c>
      <c r="L8" s="16" t="inlineStr">
        <is>
          <t>public</t>
        </is>
      </c>
      <c r="M8" s="16" t="inlineStr">
        <is>
          <t>P2 - High</t>
        </is>
      </c>
      <c r="N8" s="16" t="inlineStr">
        <is>
          <t>M</t>
        </is>
      </c>
      <c r="O8" s="22" t="inlineStr">
        <is>
          <t>DONE</t>
        </is>
      </c>
      <c r="P8" s="16" t="inlineStr">
        <is>
          <t>2026-07-23</t>
        </is>
      </c>
      <c r="Q8" s="16" t="inlineStr"/>
      <c r="R8" s="16" t="inlineStr">
        <is>
          <t>Each nav item leads to its own routed page with its own URL that can be shared and bookmarked. The browser back button works. The active item is marked in the nav.</t>
        </is>
      </c>
      <c r="S8" s="16" t="inlineStr">
        <is>
          <t>DEF-003</t>
        </is>
      </c>
      <c r="T8" s="16" t="inlineStr">
        <is>
          <t>LIVRÉ 2026-07-23. La vitrine n'est plus une page unique à défilement : Accueil / Modules / Vos données / Tarifs / FAQ sont de VRAIES routes (#/, #/modules, #/donnees, #/tarifs, #/faq) sous une coquille partagée (app/src/pages/site/). URL propre partageable, bouton précédent respecté, entrée active marquée, accès direct à chaque page. Vérifié au navigateur (13/13) + e2e complet vert. Landing.jsx laissé en place, non importé.</t>
        </is>
      </c>
    </row>
    <row r="9" ht="108" customHeight="1">
      <c r="A9" s="16" t="inlineStr">
        <is>
          <t>CR-007</t>
        </is>
      </c>
      <c r="B9" s="16">
        <f>TODAY()</f>
        <v/>
      </c>
      <c r="C9" s="16" t="inlineStr">
        <is>
          <t>Othman</t>
        </is>
      </c>
      <c r="D9" s="16" t="n">
        <v>7</v>
      </c>
      <c r="E9" s="16" t="inlineStr">
        <is>
          <t>Design</t>
        </is>
      </c>
      <c r="F9" s="16" t="inlineStr">
        <is>
          <t>Pre-enrolment</t>
        </is>
      </c>
      <c r="G9" s="17" t="inlineStr">
        <is>
          <t>Widen the pre-enrolment form layout</t>
        </is>
      </c>
      <c r="H9" s="16" t="inlineStr">
        <is>
          <t>The form is too narrow; use more of the horizontal space on left and right.</t>
        </is>
      </c>
      <c r="I9" s="16" t="inlineStr">
        <is>
          <t>A cramped public form is the first impression a parent gets of the school's software.</t>
        </is>
      </c>
      <c r="J9" s="16" t="inlineStr">
        <is>
          <t>Pre-enrolment</t>
        </is>
      </c>
      <c r="K9" s="16" t="inlineStr">
        <is>
          <t>#/inscription</t>
        </is>
      </c>
      <c r="L9" s="16" t="inlineStr">
        <is>
          <t>public</t>
        </is>
      </c>
      <c r="M9" s="16" t="inlineStr">
        <is>
          <t>P3 - Medium</t>
        </is>
      </c>
      <c r="N9" s="16" t="inlineStr">
        <is>
          <t>S</t>
        </is>
      </c>
      <c r="O9" s="21" t="inlineStr">
        <is>
          <t>DONE</t>
        </is>
      </c>
      <c r="P9" s="16" t="inlineStr">
        <is>
          <t>42601e8 · 2026-07-22</t>
        </is>
      </c>
      <c r="Q9" s="16" t="inlineStr"/>
      <c r="R9" s="16" t="inlineStr">
        <is>
          <t>The form uses a wider container on desktop, stays readable (line length under ~75 characters), and still shows zero horizontal overflow at 390 px.</t>
        </is>
      </c>
      <c r="S9" s="16" t="inlineStr"/>
      <c r="T9" s="16" t="inlineStr">
        <is>
          <t>Formulaire élargi (max-w-2xl → max-w-4xl). Vérifié : toujours 0 débordement à 390px.</t>
        </is>
      </c>
    </row>
    <row r="10" ht="108" customHeight="1">
      <c r="A10" s="16" t="inlineStr">
        <is>
          <t>CR-008</t>
        </is>
      </c>
      <c r="B10" s="16">
        <f>TODAY()</f>
        <v/>
      </c>
      <c r="C10" s="16" t="inlineStr">
        <is>
          <t>Othman</t>
        </is>
      </c>
      <c r="D10" s="16" t="n">
        <v>8</v>
      </c>
      <c r="E10" s="16" t="inlineStr">
        <is>
          <t>New feature</t>
        </is>
      </c>
      <c r="F10" s="16" t="inlineStr">
        <is>
          <t>Pre-enrolment</t>
        </is>
      </c>
      <c r="G10" s="17" t="inlineStr">
        <is>
          <t>Extend the pre-enrolment form with full family and health details</t>
        </is>
      </c>
      <c r="H10" s="16" t="inlineStr">
        <is>
          <t>Add fields modelled on a standard preschool registration form: child first/last name, date of birth, gender, full home address; mother and father each with name, phone and address; health conditions (allergies, illness, disability) with a free-text description; anything else the teachers should know; preferred programme (days per week, before/after school care).</t>
        </is>
      </c>
      <c r="I10" s="16" t="inlineStr">
        <is>
          <t>The current form captures the minimum. A school cannot make an admission decision from it, and the data has to be re-collected by hand later.</t>
        </is>
      </c>
      <c r="J10" s="16" t="inlineStr">
        <is>
          <t>Pre-enrolment</t>
        </is>
      </c>
      <c r="K10" s="16" t="inlineStr">
        <is>
          <t>#/inscription</t>
        </is>
      </c>
      <c r="L10" s="16" t="inlineStr">
        <is>
          <t>public, schooladmin, admin</t>
        </is>
      </c>
      <c r="M10" s="16" t="inlineStr">
        <is>
          <t>P1 - Immediate</t>
        </is>
      </c>
      <c r="N10" s="16" t="inlineStr">
        <is>
          <t>L</t>
        </is>
      </c>
      <c r="O10" s="21" t="inlineStr">
        <is>
          <t>DONE</t>
        </is>
      </c>
      <c r="P10" s="16" t="inlineStr">
        <is>
          <t>2026-07-23</t>
        </is>
      </c>
      <c r="Q10" s="16" t="inlineStr"/>
      <c r="R10" s="16" t="inlineStr">
        <is>
          <t>All new fields are captured, validated, persisted, and visible in the Admissions detail modal. Required vs optional is explicit. The health section is stored with the same protection as other health data. The form still submits successfully with only the required fields filled.</t>
        </is>
      </c>
      <c r="S10" s="16" t="inlineStr"/>
      <c r="T10" s="16" t="inlineStr">
        <is>
          <t>Formulaire de pré-inscription enrichi : famille complète, santé, adresse structurée avec pays. Déployé.</t>
        </is>
      </c>
    </row>
    <row r="11" ht="108" customHeight="1">
      <c r="A11" s="16" t="inlineStr">
        <is>
          <t>CR-009</t>
        </is>
      </c>
      <c r="B11" s="16">
        <f>TODAY()</f>
        <v/>
      </c>
      <c r="C11" s="16" t="inlineStr">
        <is>
          <t>Othman</t>
        </is>
      </c>
      <c r="D11" s="16" t="n">
        <v>9</v>
      </c>
      <c r="E11" s="16" t="inlineStr">
        <is>
          <t>New feature</t>
        </is>
      </c>
      <c r="F11" s="16" t="inlineStr">
        <is>
          <t>Pre-enrolment</t>
        </is>
      </c>
      <c r="G11" s="17" t="inlineStr">
        <is>
          <t>Add terms, agreements and consent to the pre-enrolment form</t>
        </is>
      </c>
      <c r="H11" s="16" t="inlineStr">
        <is>
          <t>Select the applicable conditions from a standard registration form: fee payment commitment, notice period for withdrawal, immunisation record requirement, the school's right to decline, guardian signature and date, and data-protection consent.</t>
        </is>
      </c>
      <c r="I11" s="16" t="inlineStr">
        <is>
          <t>Without an agreed set of terms the pre-enrolment is not a commitment and gives the school no legal footing.</t>
        </is>
      </c>
      <c r="J11" s="16" t="inlineStr">
        <is>
          <t>Pre-enrolment</t>
        </is>
      </c>
      <c r="K11" s="16" t="inlineStr">
        <is>
          <t>#/inscription</t>
        </is>
      </c>
      <c r="L11" s="16" t="inlineStr">
        <is>
          <t>public, schooladmin</t>
        </is>
      </c>
      <c r="M11" s="16" t="inlineStr">
        <is>
          <t>P1 - Immediate</t>
        </is>
      </c>
      <c r="N11" s="16" t="inlineStr">
        <is>
          <t>M</t>
        </is>
      </c>
      <c r="O11" s="21" t="inlineStr">
        <is>
          <t>DONE</t>
        </is>
      </c>
      <c r="P11" s="16" t="inlineStr">
        <is>
          <t>2026-07-23</t>
        </is>
      </c>
      <c r="Q11" s="16" t="inlineStr"/>
      <c r="R11" s="16" t="inlineStr">
        <is>
          <t>Terms are displayed before submission, consent is an explicit action (never pre-ticked), the submission is refused without it, and the accepted version and timestamp are stored with the application. Aligned with the compliance regime chosen in CR-005.</t>
        </is>
      </c>
      <c r="S11" s="16" t="inlineStr"/>
      <c r="T11" s="16" t="inlineStr">
        <is>
          <t>6 engagements datés et conservés. Déployé.</t>
        </is>
      </c>
    </row>
    <row r="12" ht="108" customHeight="1">
      <c r="A12" s="16" t="inlineStr">
        <is>
          <t>CR-010</t>
        </is>
      </c>
      <c r="B12" s="16">
        <f>TODAY()</f>
        <v/>
      </c>
      <c r="C12" s="16" t="inlineStr">
        <is>
          <t>Othman</t>
        </is>
      </c>
      <c r="D12" s="16" t="n">
        <v>10</v>
      </c>
      <c r="E12" s="16" t="inlineStr">
        <is>
          <t>New feature</t>
        </is>
      </c>
      <c r="F12" s="16" t="inlineStr">
        <is>
          <t>Pre-enrolment</t>
        </is>
      </c>
      <c r="G12" s="17" t="inlineStr">
        <is>
          <t>Turn pre-enrolment into a multi-step wizard driven by the level</t>
        </is>
      </c>
      <c r="H12" s="16" t="inlineStr">
        <is>
          <t>The ten levels (Crèche, Pré-maternelle, Maternelle 1-2, 1ère to 6ème année) fall into categories with different rules and required information. The form should become several steps and ask only what that category needs.</t>
        </is>
      </c>
      <c r="I12" s="16" t="inlineStr">
        <is>
          <t>One flat form asking everything for everyone is long, confusing, and collects irrelevant data.</t>
        </is>
      </c>
      <c r="J12" s="16" t="inlineStr">
        <is>
          <t>Pre-enrolment</t>
        </is>
      </c>
      <c r="K12" s="16" t="inlineStr">
        <is>
          <t>#/inscription</t>
        </is>
      </c>
      <c r="L12" s="16" t="inlineStr">
        <is>
          <t>public</t>
        </is>
      </c>
      <c r="M12" s="16" t="inlineStr">
        <is>
          <t>P2 - High</t>
        </is>
      </c>
      <c r="N12" s="16" t="inlineStr">
        <is>
          <t>L</t>
        </is>
      </c>
      <c r="O12" s="21" t="inlineStr">
        <is>
          <t>DONE</t>
        </is>
      </c>
      <c r="P12" s="16" t="inlineStr">
        <is>
          <t>2026-07-23</t>
        </is>
      </c>
      <c r="Q12" s="16" t="inlineStr"/>
      <c r="R12" s="16" t="inlineStr">
        <is>
          <t>Level categories are defined and documented. Choosing a level determines the following steps. Progress is visible, back and forward preserve entered data, and validation runs per step. Depends on CR-008 for the field set.</t>
        </is>
      </c>
      <c r="S12" s="16" t="inlineStr"/>
      <c r="T12" s="16" t="inlineStr">
        <is>
          <t>Formulaire à étapes guidé par le niveau (crèche/maternelle/primaire). Déployé.</t>
        </is>
      </c>
    </row>
    <row r="13" ht="108" customHeight="1">
      <c r="A13" s="16" t="inlineStr">
        <is>
          <t>CR-011</t>
        </is>
      </c>
      <c r="B13" s="16">
        <f>TODAY()</f>
        <v/>
      </c>
      <c r="C13" s="16" t="inlineStr">
        <is>
          <t>Othman</t>
        </is>
      </c>
      <c r="D13" s="16" t="n">
        <v>11</v>
      </c>
      <c r="E13" s="16" t="inlineStr">
        <is>
          <t>Design</t>
        </is>
      </c>
      <c r="F13" s="16" t="inlineStr">
        <is>
          <t>Landing &amp; login</t>
        </is>
      </c>
      <c r="G13" s="17" t="inlineStr">
        <is>
          <t>Redesign the login page</t>
        </is>
      </c>
      <c r="H13" s="16" t="inlineStr">
        <is>
          <t>The login page design needs rework.</t>
        </is>
      </c>
      <c r="I13" s="16" t="inlineStr">
        <is>
          <t>The login screen is seen on every single visit by every user; it sets the perceived quality of the product.</t>
        </is>
      </c>
      <c r="J13" s="16" t="inlineStr">
        <is>
          <t>Login</t>
        </is>
      </c>
      <c r="K13" s="16" t="inlineStr">
        <is>
          <t>#/login</t>
        </is>
      </c>
      <c r="L13" s="16" t="inlineStr">
        <is>
          <t>all</t>
        </is>
      </c>
      <c r="M13" s="16" t="inlineStr">
        <is>
          <t>P2 - High</t>
        </is>
      </c>
      <c r="N13" s="16" t="inlineStr">
        <is>
          <t>M</t>
        </is>
      </c>
      <c r="O13" s="22" t="inlineStr">
        <is>
          <t>DONE</t>
        </is>
      </c>
      <c r="P13" s="16" t="inlineStr">
        <is>
          <t>2026-07-23</t>
        </is>
      </c>
      <c r="Q13" s="16" t="inlineStr"/>
      <c r="R13" s="16" t="inlineStr">
        <is>
          <t>A redesign is agreed against the Kogia Harmony brand system, fits every viewport from 390 px upward, and keeps the seven demo role buttons available in demo mode only. The viewport defect DEF-001 is fixed as part of this.</t>
        </is>
      </c>
      <c r="S13" s="16" t="inlineStr">
        <is>
          <t>DEF-001</t>
        </is>
      </c>
      <c r="T13" s="16" t="inlineStr">
        <is>
          <t>LIVRÉ 2026-07-23. Refonte de l'écran de connexion, direction « Clair éditorial » (choisie parmi 3 directions rendues) : fond clair aligné sur le site validé, formulaire à gauche, panneau marque à droite montrant la maquette produit en direct (évaluation). Violet Coreon en accent, logo en haut seulement, 0 débordement à 390px, mouvement coupé si réduit. Nouvelle accroche (CR-012) intégrée. Vérifié : 10/10 navigateur + suite e2e. DEF-001 déjà clos.</t>
        </is>
      </c>
    </row>
    <row r="14" ht="108" customHeight="1">
      <c r="A14" s="16" t="inlineStr">
        <is>
          <t>CR-012</t>
        </is>
      </c>
      <c r="B14" s="16">
        <f>TODAY()</f>
        <v/>
      </c>
      <c r="C14" s="16" t="inlineStr">
        <is>
          <t>Othman</t>
        </is>
      </c>
      <c r="D14" s="16" t="n">
        <v>12</v>
      </c>
      <c r="E14" s="16" t="inlineStr">
        <is>
          <t>Content</t>
        </is>
      </c>
      <c r="F14" s="16" t="inlineStr">
        <is>
          <t>Landing &amp; login</t>
        </is>
      </c>
      <c r="G14" s="17" t="inlineStr">
        <is>
          <t>Rewrite the login and landing marketing copy</t>
        </is>
      </c>
      <c r="H14" s="16" t="inlineStr">
        <is>
          <t>The current copy ('Pas un ERP scolaire de plus', 'L'école qu'on a envie d'ouvrir', the 121 / 96% / 8 figures, 'par Kogia Group © 2026 Tunisie') is not compelling.</t>
        </is>
      </c>
      <c r="I14" s="16" t="inlineStr">
        <is>
          <t>This is the first and most repeated text in the product; it carries the positioning.</t>
        </is>
      </c>
      <c r="J14" s="16" t="inlineStr">
        <is>
          <t>Landing / Login</t>
        </is>
      </c>
      <c r="K14" s="16" t="inlineStr">
        <is>
          <t>#/login</t>
        </is>
      </c>
      <c r="L14" s="16" t="inlineStr">
        <is>
          <t>public</t>
        </is>
      </c>
      <c r="M14" s="16" t="inlineStr">
        <is>
          <t>P2 - High</t>
        </is>
      </c>
      <c r="N14" s="16" t="inlineStr">
        <is>
          <t>M</t>
        </is>
      </c>
      <c r="O14" s="22" t="inlineStr">
        <is>
          <t>DONE</t>
        </is>
      </c>
      <c r="P14" s="16" t="inlineStr">
        <is>
          <t>2026-07-23</t>
        </is>
      </c>
      <c r="Q14" s="16" t="inlineStr"/>
      <c r="R14" s="16" t="inlineStr">
        <is>
          <t>New copy is written after CR-005 fixes the positioning, drops the Tunisia reference, and states clearly what Coreon does and for whom. Demo statistics are either real or clearly labelled as a demonstration.</t>
        </is>
      </c>
      <c r="S14" s="16" t="inlineStr"/>
      <c r="T14" s="16" t="inlineStr">
        <is>
          <t>LIVRÉ 2026-07-23. Accroche de connexion réécrite (les lignes qu'Othman jugeait peu attractives) : « Toute votre école, sur une seule plateforme. » + sous-titre admissions/évaluation/finances/communication. Ton international, plus « pas un ERP de plus ». FR + AR (i18n.js) dans le même geste. La refonte VISUELLE (couleurs/mise en page) relève de CR-011.</t>
        </is>
      </c>
    </row>
    <row r="15" ht="108" customHeight="1">
      <c r="A15" s="16" t="inlineStr">
        <is>
          <t>CR-013</t>
        </is>
      </c>
      <c r="B15" s="16">
        <f>TODAY()</f>
        <v/>
      </c>
      <c r="C15" s="16" t="inlineStr">
        <is>
          <t>Othman</t>
        </is>
      </c>
      <c r="D15" s="16" t="n">
        <v>13</v>
      </c>
      <c r="E15" s="16" t="inlineStr">
        <is>
          <t>New feature</t>
        </is>
      </c>
      <c r="F15" s="16" t="inlineStr">
        <is>
          <t>Authentication</t>
        </is>
      </c>
      <c r="G15" s="17" t="inlineStr">
        <is>
          <t>Add a password recovery flow</t>
        </is>
      </c>
      <c r="H15" s="16" t="inlineStr">
        <is>
          <t>There is no 'forgot password' anywhere. Add one, handled through support@kogiagroup.com.</t>
        </is>
      </c>
      <c r="I15" s="16" t="inlineStr">
        <is>
          <t>Without recovery, a locked-out user cannot get back in without a developer. This blocks any real school using the product.</t>
        </is>
      </c>
      <c r="J15" s="16" t="inlineStr">
        <is>
          <t>Login</t>
        </is>
      </c>
      <c r="K15" s="16" t="inlineStr">
        <is>
          <t>#/login</t>
        </is>
      </c>
      <c r="L15" s="16" t="inlineStr">
        <is>
          <t>all</t>
        </is>
      </c>
      <c r="M15" s="16" t="inlineStr">
        <is>
          <t>P1 - Immediate</t>
        </is>
      </c>
      <c r="N15" s="16" t="inlineStr">
        <is>
          <t>M</t>
        </is>
      </c>
      <c r="O15" s="21" t="inlineStr">
        <is>
          <t>DONE</t>
        </is>
      </c>
      <c r="P15" s="16" t="inlineStr">
        <is>
          <t>42601e8 · 2026-07-22</t>
        </is>
      </c>
      <c r="Q15" s="16" t="inlineStr"/>
      <c r="R15" s="16" t="inlineStr">
        <is>
          <t>A 'Mot de passe oublié' link exists on the login page. Submitting an address sends a time-limited, single-use reset link and reveals nothing about whether the account exists. Tokens expire. The flow works in server mode; behaviour in demo mode is explicitly defined. Runs through the existing coreon-mail-worker.</t>
        </is>
      </c>
      <c r="S15" s="16" t="inlineStr"/>
      <c r="T15" s="16" t="inlineStr">
        <is>
          <t>Livré. Serveur : /api/forgot + /api/reset, jeton usage unique 60 min, réponse neutre, 5 demandes/h/IP, compte désactivé ignoré, sessions fermées à la réinitialisation. Web : #/mot-de-passe-oublie + #/reinitialiser + lien sur /login. Mode démo : la demande part à support@kogiagroup.com. 4 tests serveur + 10 vérif. navigateur.</t>
        </is>
      </c>
    </row>
    <row r="16" ht="108" customHeight="1">
      <c r="A16" s="16" t="inlineStr">
        <is>
          <t>CR-014</t>
        </is>
      </c>
      <c r="B16" s="16">
        <f>TODAY()</f>
        <v/>
      </c>
      <c r="C16" s="16" t="inlineStr">
        <is>
          <t>Othman</t>
        </is>
      </c>
      <c r="D16" s="16" t="n">
        <v>14</v>
      </c>
      <c r="E16" s="16" t="inlineStr">
        <is>
          <t>New feature</t>
        </is>
      </c>
      <c r="F16" s="16" t="inlineStr">
        <is>
          <t>Owner console</t>
        </is>
      </c>
      <c r="G16" s="17" t="inlineStr">
        <is>
          <t>Add a technical corner to each school in the owner console</t>
        </is>
      </c>
      <c r="H16" s="16" t="inlineStr">
        <is>
          <t>As Kogia Group, be able to open a school and see its technical details: contact e-mails, domain, IP addresses, ports, configuration; and reach it directly to check what is happening. Start with whatever information exists today.</t>
        </is>
      </c>
      <c r="I16" s="16" t="inlineStr">
        <is>
          <t>You operate the platform for every school. Without this you cannot diagnose a customer problem without opening a terminal.</t>
        </is>
      </c>
      <c r="J16" s="16" t="inlineStr">
        <is>
          <t>Schools</t>
        </is>
      </c>
      <c r="K16" s="16" t="inlineStr">
        <is>
          <t>#/app/schools</t>
        </is>
      </c>
      <c r="L16" s="16" t="inlineStr">
        <is>
          <t>owner</t>
        </is>
      </c>
      <c r="M16" s="16" t="inlineStr">
        <is>
          <t>P2 - High</t>
        </is>
      </c>
      <c r="N16" s="16" t="inlineStr">
        <is>
          <t>L</t>
        </is>
      </c>
      <c r="O16" s="21" t="inlineStr">
        <is>
          <t>DONE</t>
        </is>
      </c>
      <c r="P16" s="16" t="inlineStr">
        <is>
          <t>2026-07-23</t>
        </is>
      </c>
      <c r="Q16" s="16" t="inlineStr"/>
      <c r="R16" s="16" t="inlineStr">
        <is>
          <t>Each school row opens a technical panel showing the fields that exist today (name, plan, Direction contact, status, revision, last activity), with clearly marked empty placeholders for the fields not yet collected. Owner-only. Never exposes passwords or personal pupil data. A follow-up CR adds the missing infrastructure fields.</t>
        </is>
      </c>
      <c r="S16" s="16" t="inlineStr"/>
      <c r="T16" s="16" t="inlineStr">
        <is>
          <t>Fiche technique par école dans la console plateforme : ce qu’on a, « à collecter » pour le reste. Déployé.</t>
        </is>
      </c>
    </row>
    <row r="17" ht="108" customHeight="1">
      <c r="A17" s="16" t="inlineStr">
        <is>
          <t>CR-015</t>
        </is>
      </c>
      <c r="B17" s="16">
        <f>TODAY()</f>
        <v/>
      </c>
      <c r="C17" s="16" t="inlineStr">
        <is>
          <t>Othman</t>
        </is>
      </c>
      <c r="D17" s="16" t="n">
        <v>16</v>
      </c>
      <c r="E17" s="16" t="inlineStr">
        <is>
          <t>Design</t>
        </is>
      </c>
      <c r="F17" s="16" t="inlineStr">
        <is>
          <t>Shell &amp; chrome</t>
        </is>
      </c>
      <c r="G17" s="17" t="inlineStr">
        <is>
          <t>Make the weather widget smaller</t>
        </is>
      </c>
      <c r="H17" s="16" t="inlineStr">
        <is>
          <t>The Météo corner is too prominent; reduce its size.</t>
        </is>
      </c>
      <c r="I17" s="16" t="inlineStr">
        <is>
          <t>It competes for attention with the working areas of the header.</t>
        </is>
      </c>
      <c r="J17" s="16" t="inlineStr">
        <is>
          <t>AppShell</t>
        </is>
      </c>
      <c r="K17" s="16" t="inlineStr">
        <is>
          <t>Global</t>
        </is>
      </c>
      <c r="L17" s="16" t="inlineStr">
        <is>
          <t>all</t>
        </is>
      </c>
      <c r="M17" s="16" t="inlineStr">
        <is>
          <t>P4 - Low</t>
        </is>
      </c>
      <c r="N17" s="16" t="inlineStr">
        <is>
          <t>XS</t>
        </is>
      </c>
      <c r="O17" s="21" t="inlineStr">
        <is>
          <t>DONE</t>
        </is>
      </c>
      <c r="P17" s="16" t="inlineStr">
        <is>
          <t>42601e8 · 2026-07-22</t>
        </is>
      </c>
      <c r="Q17" s="16" t="inlineStr"/>
      <c r="R17" s="16" t="inlineStr">
        <is>
          <t>The widget is visually secondary to the school name and the notification bell, still legible, and does not wrap the header at 390 px.</t>
        </is>
      </c>
      <c r="S17" s="16" t="inlineStr"/>
      <c r="T17" s="16" t="inlineStr">
        <is>
          <t>Chip météo en une seule ligne (icône 20px + température) ; libellé et détail dans le panneau.</t>
        </is>
      </c>
    </row>
    <row r="18" ht="108" customHeight="1">
      <c r="A18" s="16" t="inlineStr">
        <is>
          <t>CR-016</t>
        </is>
      </c>
      <c r="B18" s="16">
        <f>TODAY()</f>
        <v/>
      </c>
      <c r="C18" s="16" t="inlineStr">
        <is>
          <t>Othman</t>
        </is>
      </c>
      <c r="D18" s="16" t="n">
        <v>17</v>
      </c>
      <c r="E18" s="16" t="inlineStr">
        <is>
          <t>Research</t>
        </is>
      </c>
      <c r="F18" s="16" t="inlineStr">
        <is>
          <t>Role model</t>
        </is>
      </c>
      <c r="G18" s="17" t="inlineStr">
        <is>
          <t>Define what separates Direction from Administration</t>
        </is>
      </c>
      <c r="H18" s="16" t="inlineStr">
        <is>
          <t>The two roles feel like the same platform. The observed split is that Administration creates and receives requests and views evaluation dashboards, while Direction monitors and gives final approval. This needs to be researched and written down properly.</t>
        </is>
      </c>
      <c r="I18" s="16" t="inlineStr">
        <is>
          <t>Two roles that overlap confuse users, make permissions arbitrary, and block the departmental split in CR-019.</t>
        </is>
      </c>
      <c r="J18" s="16" t="inlineStr">
        <is>
          <t>Access control</t>
        </is>
      </c>
      <c r="K18" s="16" t="inlineStr">
        <is>
          <t>Global</t>
        </is>
      </c>
      <c r="L18" s="16" t="inlineStr">
        <is>
          <t>schooladmin, admin</t>
        </is>
      </c>
      <c r="M18" s="16" t="inlineStr">
        <is>
          <t>P1 - Immediate</t>
        </is>
      </c>
      <c r="N18" s="16" t="inlineStr">
        <is>
          <t>M</t>
        </is>
      </c>
      <c r="O18" s="21" t="inlineStr">
        <is>
          <t>DONE</t>
        </is>
      </c>
      <c r="P18" s="16" t="inlineStr">
        <is>
          <t>2026-07-23</t>
        </is>
      </c>
      <c r="Q18" s="16" t="inlineStr"/>
      <c r="R18" s="16" t="inlineStr">
        <is>
          <t>A written role definition exists for both: what each one owns, decides, approves and cannot do. It is validated against how real schools are organised. ROUTE_ROLES and WRITE_ACL are updated to match, and the difference is visible in the product, not only in the code.</t>
        </is>
      </c>
      <c r="S18" s="16" t="inlineStr"/>
      <c r="T18" s="16" t="inlineStr">
        <is>
          <t>Tranché et documenté (docs/quality/role-model.md §2) : l’Administration PRÉPARE et enregistre ; la Direction DÉCIDE et approuve. Jamais le même compte sur l’argent ou une action RH. Recherche sourcée (9 références).</t>
        </is>
      </c>
    </row>
    <row r="19" ht="108" customHeight="1">
      <c r="A19" s="16" t="inlineStr">
        <is>
          <t>CR-017</t>
        </is>
      </c>
      <c r="B19" s="16">
        <f>TODAY()</f>
        <v/>
      </c>
      <c r="C19" s="16" t="inlineStr">
        <is>
          <t>Othman</t>
        </is>
      </c>
      <c r="D19" s="16" t="n">
        <v>18</v>
      </c>
      <c r="E19" s="16" t="inlineStr">
        <is>
          <t>Epic</t>
        </is>
      </c>
      <c r="F19" s="16" t="inlineStr">
        <is>
          <t>Identity &amp; numbering</t>
        </is>
      </c>
      <c r="G19" s="17" t="inlineStr">
        <is>
          <t>Give every record a formal, structured ID</t>
        </is>
      </c>
      <c r="H19" s="16" t="inlineStr">
        <is>
          <t>Nothing currently carries a proper identifier. Every entity — student, teacher, request, accident, registration — should have a structured ID following a real numbering convention, not a raw internal key.</t>
        </is>
      </c>
      <c r="I19" s="16" t="inlineStr">
        <is>
          <t>Structured IDs are what make an ERP auditable: they can be quoted on paper, searched, and traced.</t>
        </is>
      </c>
      <c r="J19" s="16" t="inlineStr">
        <is>
          <t>All modules</t>
        </is>
      </c>
      <c r="K19" s="16" t="inlineStr">
        <is>
          <t>Global</t>
        </is>
      </c>
      <c r="L19" s="16" t="inlineStr">
        <is>
          <t>all</t>
        </is>
      </c>
      <c r="M19" s="16" t="inlineStr">
        <is>
          <t>P1 - Immediate</t>
        </is>
      </c>
      <c r="N19" s="16" t="inlineStr">
        <is>
          <t>XL</t>
        </is>
      </c>
      <c r="O19" s="16" t="inlineStr">
        <is>
          <t>NEW</t>
        </is>
      </c>
      <c r="P19" s="16" t="inlineStr"/>
      <c r="Q19" s="16" t="inlineStr"/>
      <c r="R19" s="16" t="inlineStr">
        <is>
          <t>A documented numbering scheme exists (prefix, year, sequence, check digit) with one prefix per entity type. IDs are gapless, immutable once issued, never reused, and shown wherever the record appears. Existing demo data is migrated. Follows the pattern already proven in the Documents registry.</t>
        </is>
      </c>
      <c r="S19" s="16" t="inlineStr"/>
      <c r="T19"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0" ht="108" customHeight="1">
      <c r="A20" s="16" t="inlineStr">
        <is>
          <t>CR-018</t>
        </is>
      </c>
      <c r="B20" s="16">
        <f>TODAY()</f>
        <v/>
      </c>
      <c r="C20" s="16" t="inlineStr">
        <is>
          <t>Othman</t>
        </is>
      </c>
      <c r="D20" s="16" t="n">
        <v>18</v>
      </c>
      <c r="E20" s="16" t="inlineStr">
        <is>
          <t>Epic</t>
        </is>
      </c>
      <c r="F20" s="16" t="inlineStr">
        <is>
          <t>Identity &amp; numbering</t>
        </is>
      </c>
      <c r="G20" s="17" t="inlineStr">
        <is>
          <t>Add a person identity record separate from the entity ID</t>
        </is>
      </c>
      <c r="H20" s="16" t="inlineStr">
        <is>
          <t>Two different IDs are needed: the record ID from CR-017, and a real human identity for every person — national ID card or passport — chosen by the parent for a child and by the adult for themselves.</t>
        </is>
      </c>
      <c r="I20" s="16" t="inlineStr">
        <is>
          <t>One human can be a parent, an employee and an alumnus at once. Without a person record they become three unrelated rows, and no ERP can work that way.</t>
        </is>
      </c>
      <c r="J20" s="16" t="inlineStr">
        <is>
          <t>All modules</t>
        </is>
      </c>
      <c r="K20" s="16" t="inlineStr">
        <is>
          <t>Global</t>
        </is>
      </c>
      <c r="L20" s="16" t="inlineStr">
        <is>
          <t>all</t>
        </is>
      </c>
      <c r="M20" s="16" t="inlineStr">
        <is>
          <t>P1 - Immediate</t>
        </is>
      </c>
      <c r="N20" s="16" t="inlineStr">
        <is>
          <t>XL</t>
        </is>
      </c>
      <c r="O20" s="16" t="inlineStr">
        <is>
          <t>NEW</t>
        </is>
      </c>
      <c r="P20" s="16" t="inlineStr"/>
      <c r="Q20" s="16" t="inlineStr"/>
      <c r="R20" s="16" t="inlineStr">
        <is>
          <t>A person entity exists, holding identity document type, number, issuing country and expiry, with the document type selectable rather than fixed to CIN. One person links to many roles. Uniqueness is enforced per document type and country. Identity data is treated as sensitive and excluded from staff-facing blobs. Depends on CR-017 and on the compliance regime from CR-005.</t>
        </is>
      </c>
      <c r="S20" s="16" t="inlineStr"/>
      <c r="T20"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1" ht="108" customHeight="1">
      <c r="A21" s="16" t="inlineStr">
        <is>
          <t>CR-019</t>
        </is>
      </c>
      <c r="B21" s="16">
        <f>TODAY()</f>
        <v/>
      </c>
      <c r="C21" s="16" t="inlineStr">
        <is>
          <t>Othman</t>
        </is>
      </c>
      <c r="D21" s="16" t="n">
        <v>21</v>
      </c>
      <c r="E21" s="16" t="inlineStr">
        <is>
          <t>Epic</t>
        </is>
      </c>
      <c r="F21" s="16" t="inlineStr">
        <is>
          <t>ERP architecture</t>
        </is>
      </c>
      <c r="G21" s="17" t="inlineStr">
        <is>
          <t>Split Administration into real departmental platforms</t>
        </is>
      </c>
      <c r="H21" s="16" t="inlineStr">
        <is>
          <t>One Administration platform holding every service is not how a school works — every school has departments, even when one person staffs them. Build genuine platforms for HR, Accounting and Administration.</t>
        </is>
      </c>
      <c r="I21" s="16" t="inlineStr">
        <is>
          <t>Departmental separation is what makes it an ERP rather than a collection of screens, and it is the precondition for real separation of duties.</t>
        </is>
      </c>
      <c r="J21" s="16" t="inlineStr">
        <is>
          <t>All modules</t>
        </is>
      </c>
      <c r="K21" s="16" t="inlineStr">
        <is>
          <t>Global</t>
        </is>
      </c>
      <c r="L21" s="16" t="inlineStr">
        <is>
          <t>schooladmin, admin</t>
        </is>
      </c>
      <c r="M21" s="16" t="inlineStr">
        <is>
          <t>P1 - Immediate</t>
        </is>
      </c>
      <c r="N21" s="16" t="inlineStr">
        <is>
          <t>XL</t>
        </is>
      </c>
      <c r="O21" s="21" t="inlineStr">
        <is>
          <t>DONE</t>
        </is>
      </c>
      <c r="P21" s="16" t="inlineStr">
        <is>
          <t>2026-07-23</t>
        </is>
      </c>
      <c r="Q21" s="16" t="inlineStr"/>
      <c r="R21" s="16" t="inlineStr">
        <is>
          <t>Each department has its own workspace, its own role, its own permissions and its own dashboard. A person can hold more than one departmental role. Data crosses departments only through explicit, logged handovers. One person can still run all of them in a small school without extra friction. Depends on CR-016.</t>
        </is>
      </c>
      <c r="S21" s="16" t="inlineStr"/>
      <c r="T21" s="16" t="inlineStr">
        <is>
          <t>LIVRÉ. Deux départements réels et composables : RH (rh@alnour.tn) et Comptabilité (comptable@alnour.tn), chacun avec son périmètre, son tableau de bord, et un cloisonnement prouvé (route + nav + données serveur). admin reste le généraliste. La séparation « déposant≠approbateur » viendra avec le moteur de workflow.</t>
        </is>
      </c>
    </row>
    <row r="22" ht="108" customHeight="1">
      <c r="A22" s="16" t="inlineStr">
        <is>
          <t>CR-020</t>
        </is>
      </c>
      <c r="B22" s="16">
        <f>TODAY()</f>
        <v/>
      </c>
      <c r="C22" s="16" t="inlineStr">
        <is>
          <t>Othman</t>
        </is>
      </c>
      <c r="D22" s="16" t="n">
        <v>22</v>
      </c>
      <c r="E22" s="16" t="inlineStr">
        <is>
          <t>Research</t>
        </is>
      </c>
      <c r="F22" s="16" t="inlineStr">
        <is>
          <t>Role model</t>
        </is>
      </c>
      <c r="G22" s="17" t="inlineStr">
        <is>
          <t>Map the relationships between every role across every level</t>
        </is>
      </c>
      <c r="H22" s="16" t="inlineStr">
        <is>
          <t>Research how Direction, Administration, HR, Accounting, Supervisor, Security, Teacher and Parent relate to each other in a school, across all ten levels from Crèche to 6ème année.</t>
        </is>
      </c>
      <c r="I22" s="16" t="inlineStr">
        <is>
          <t>This is the foundation under CR-016, CR-019 and the permission model. Guessing it produces a product that no real school recognises.</t>
        </is>
      </c>
      <c r="J22" s="16" t="inlineStr">
        <is>
          <t>Access control</t>
        </is>
      </c>
      <c r="K22" s="16" t="inlineStr">
        <is>
          <t>Global</t>
        </is>
      </c>
      <c r="L22" s="16" t="inlineStr">
        <is>
          <t>all</t>
        </is>
      </c>
      <c r="M22" s="16" t="inlineStr">
        <is>
          <t>P1 - Immediate</t>
        </is>
      </c>
      <c r="N22" s="16" t="inlineStr">
        <is>
          <t>L</t>
        </is>
      </c>
      <c r="O22" s="21" t="inlineStr">
        <is>
          <t>DONE</t>
        </is>
      </c>
      <c r="P22" s="16" t="inlineStr">
        <is>
          <t>2026-07-23</t>
        </is>
      </c>
      <c r="Q22" s="16" t="inlineStr"/>
      <c r="R22" s="16" t="inlineStr">
        <is>
          <t>A written model exists: who reports to whom, who approves what, which information flows between roles, and how this differs between early years and primary. Backed by real sources, not assumption. It becomes the specification the permission matrix is tested against.</t>
        </is>
      </c>
      <c r="S22" s="16" t="inlineStr"/>
      <c r="T22" s="16" t="inlineStr">
        <is>
          <t>Modèle complet livré (docs/quality/role-model.md) : les 8 rôles POSSÈDE/DÉCIDE/APPROUVE/NE-DOIT-PAS, les chaînes d’approbation, la matrice « ne doit pas voir », et les différences crèche vs primaire. Devient la spéc de CR-019/021.</t>
        </is>
      </c>
    </row>
    <row r="23" ht="108" customHeight="1">
      <c r="A23" s="16" t="inlineStr">
        <is>
          <t>CR-021</t>
        </is>
      </c>
      <c r="B23" s="16">
        <f>TODAY()</f>
        <v/>
      </c>
      <c r="C23" s="16" t="inlineStr">
        <is>
          <t>Othman</t>
        </is>
      </c>
      <c r="D23" s="16" t="n">
        <v>23</v>
      </c>
      <c r="E23" s="16" t="inlineStr">
        <is>
          <t>Epic</t>
        </is>
      </c>
      <c r="F23" s="16" t="inlineStr">
        <is>
          <t>ERP architecture</t>
        </is>
      </c>
      <c r="G23" s="17" t="inlineStr">
        <is>
          <t>Reposition Coreon EDU as a genuine ERP</t>
        </is>
      </c>
      <c r="H23" s="16" t="inlineStr">
        <is>
          <t>The overall direction: move the product from its current state to a real ERP system.</t>
        </is>
      </c>
      <c r="I23" s="16" t="inlineStr">
        <is>
          <t>The parent decision that CR-016 through CR-019 all serve.</t>
        </is>
      </c>
      <c r="J23" s="16" t="inlineStr">
        <is>
          <t>All modules</t>
        </is>
      </c>
      <c r="K23" s="16" t="inlineStr">
        <is>
          <t>Global</t>
        </is>
      </c>
      <c r="L23" s="16" t="inlineStr">
        <is>
          <t>all</t>
        </is>
      </c>
      <c r="M23" s="16" t="inlineStr">
        <is>
          <t>P1 - Immediate</t>
        </is>
      </c>
      <c r="N23" s="16" t="inlineStr">
        <is>
          <t>XL</t>
        </is>
      </c>
      <c r="O23" s="16" t="inlineStr">
        <is>
          <t>NEW</t>
        </is>
      </c>
      <c r="P23" s="16" t="inlineStr"/>
      <c r="Q23" s="16" t="inlineStr"/>
      <c r="R23" s="16" t="inlineStr">
        <is>
          <t>A written definition of what 'real ERP' means for Coreon: departments, double-entry accounting, documented identity and numbering, audit trail, separation of duties, and period closing. A gap analysis lists what exists today against that definition, and every child CR traces back to it.</t>
        </is>
      </c>
      <c r="S23" s="16" t="inlineStr"/>
      <c r="T23"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4" ht="108" customHeight="1">
      <c r="A24" s="16" t="inlineStr">
        <is>
          <t>CR-022</t>
        </is>
      </c>
      <c r="B24" s="16">
        <f>TODAY()</f>
        <v/>
      </c>
      <c r="C24" s="16" t="inlineStr">
        <is>
          <t>Othman</t>
        </is>
      </c>
      <c r="D24" s="16" t="n">
        <v>24</v>
      </c>
      <c r="E24" s="16" t="inlineStr">
        <is>
          <t>New feature</t>
        </is>
      </c>
      <c r="F24" s="16" t="inlineStr">
        <is>
          <t>Academic</t>
        </is>
      </c>
      <c r="G24" s="17" t="inlineStr">
        <is>
          <t>Let a teacher grade a whole class in one screen</t>
        </is>
      </c>
      <c r="H24" s="16" t="inlineStr">
        <is>
          <t>In Bulletins &amp; passage, a teacher should be able to enter marks for the entire class across subjects (Mathématiques, Français, Arabe, Éveil scientifique, Anglais, each out of 20) rather than one pupil at a time.</t>
        </is>
      </c>
      <c r="I24" s="16" t="inlineStr">
        <is>
          <t>Entering marks pupil by pupil is the single most repetitive task a teacher does; it is where the product either saves time or wastes it.</t>
        </is>
      </c>
      <c r="J24" s="16" t="inlineStr">
        <is>
          <t>Academic</t>
        </is>
      </c>
      <c r="K24" s="16" t="inlineStr">
        <is>
          <t>#/app/academic</t>
        </is>
      </c>
      <c r="L24" s="16" t="inlineStr">
        <is>
          <t>teacher, schooladmin, admin</t>
        </is>
      </c>
      <c r="M24" s="16" t="inlineStr">
        <is>
          <t>P1 - Immediate</t>
        </is>
      </c>
      <c r="N24" s="16" t="inlineStr">
        <is>
          <t>L</t>
        </is>
      </c>
      <c r="O24" s="21" t="inlineStr">
        <is>
          <t>DONE</t>
        </is>
      </c>
      <c r="P24" s="16" t="inlineStr">
        <is>
          <t>2026-07-23</t>
        </is>
      </c>
      <c r="Q24" s="16" t="inlineStr"/>
      <c r="R24" s="16" t="inlineStr">
        <is>
          <t>A grid shows pupils as rows and subjects as columns. Keyboard entry moves down the column. Marks are validated against the subject maximum. Partial entry can be saved and resumed. The subject list follows the level, and totals recalculate live.</t>
        </is>
      </c>
      <c r="S24" s="16" t="inlineStr"/>
      <c r="T24" s="16" t="inlineStr">
        <is>
          <t>Grille de saisie des notes par classe, au clavier, moyennes en direct. Déployé.</t>
        </is>
      </c>
    </row>
    <row r="25" ht="118" customHeight="1">
      <c r="A25" s="16" t="inlineStr">
        <is>
          <t>CR-023</t>
        </is>
      </c>
      <c r="B25" s="16" t="inlineStr">
        <is>
          <t>2026-07-23</t>
        </is>
      </c>
      <c r="C25" s="16" t="inlineStr">
        <is>
          <t>Othman</t>
        </is>
      </c>
      <c r="D25" s="16" t="n">
        <v>1</v>
      </c>
      <c r="E25" s="16" t="inlineStr">
        <is>
          <t>Enhancement</t>
        </is>
      </c>
      <c r="F25" s="16" t="inlineStr">
        <is>
          <t>Internationalisation</t>
        </is>
      </c>
      <c r="G25" s="17" t="inlineStr">
        <is>
          <t>Marchés cibles : 4 pays + structure géographique Pays → Ville → École</t>
        </is>
      </c>
      <c r="H25" s="16" t="inlineStr">
        <is>
          <t>Restreindre aux 4 marchés de lancement (Bahreïn, Qatar, Tunisie, Libye) au lieu d’un support mondial générique. Cascade Pays → Ville → École : on choisit un pays, le système charge SES villes, on choisit une ville, on configure l’école. Aucune saisie libre de pays/ville. Données pays/villes en données de référence, extensibles.</t>
        </is>
      </c>
      <c r="I25" s="16" t="inlineStr">
        <is>
          <t>Un acheteur du Golfe doit voir SON pays et SES villes, pas une liste mondiale ni la Tunisie par défaut. C’est ce qui rend la démo crédible pour Bahreïn/Qatar/Libye.</t>
        </is>
      </c>
      <c r="J25" s="16" t="inlineStr">
        <is>
          <t>Paramètres · Onboarding · Console plateforme</t>
        </is>
      </c>
      <c r="K25" s="16" t="inlineStr">
        <is>
          <t>#/app/settings · #/app/schools</t>
        </is>
      </c>
      <c r="L25" s="16" t="inlineStr">
        <is>
          <t>owner, schooladmin</t>
        </is>
      </c>
      <c r="M25" s="23" t="inlineStr">
        <is>
          <t>P1 - Immediate</t>
        </is>
      </c>
      <c r="N25" s="16" t="inlineStr">
        <is>
          <t>M</t>
        </is>
      </c>
      <c r="O25" s="21" t="inlineStr">
        <is>
          <t>DONE</t>
        </is>
      </c>
      <c r="P25" s="16" t="inlineStr">
        <is>
          <t>5123df2 · 2026-07-23</t>
        </is>
      </c>
      <c r="Q25" s="16" t="inlineStr">
        <is>
          <t>CR-004/005 (packs pays — FAIT), CR-017 (code école — FAIT)</t>
        </is>
      </c>
      <c r="R25" s="16" t="inlineStr">
        <is>
          <t>Prolonge directement core/src/locales.js : remplacer les packs de démo FR/INTL par BH/QA/TN/LY + ajouter les villes. Faisable tout de suite, faible risque, fort impact démo. À FAIRE MAINTENANT.</t>
        </is>
      </c>
      <c r="S25" s="16" t="inlineStr"/>
      <c r="T25" s="16" t="inlineStr">
        <is>
          <t>LIVRÉ. 4 pays (BH/QA/TN/LY) avec devise, code ISO, pièce d’identité et cadre légal locaux. Villes en données de référence, cascade Pays→Ville dans les Paramètres. La référence ERP porte le code pays (STD-LY-…). Ajouter un pays = un objet dans locales.js.</t>
        </is>
      </c>
    </row>
    <row r="26" ht="118" customHeight="1">
      <c r="A26" s="16" t="inlineStr">
        <is>
          <t>CR-024</t>
        </is>
      </c>
      <c r="B26" s="16" t="inlineStr">
        <is>
          <t>2026-07-23</t>
        </is>
      </c>
      <c r="C26" s="16" t="inlineStr">
        <is>
          <t>Othman</t>
        </is>
      </c>
      <c r="D26" s="16" t="n">
        <v>2</v>
      </c>
      <c r="E26" s="16" t="inlineStr">
        <is>
          <t>Epic</t>
        </is>
      </c>
      <c r="F26" s="16" t="inlineStr">
        <is>
          <t>ERP architecture</t>
        </is>
      </c>
      <c r="G26" s="17" t="inlineStr">
        <is>
          <t>Couche de configuration par pays (langue + système éducatif), un seul cœur</t>
        </is>
      </c>
      <c r="H26" s="16" t="inlineStr">
        <is>
          <t>Un cœur ERP unique + des modules de configuration par pays (countries/{bahrain,qatar,tunisia,libye}). Chaque pays personnalise : langues (ordre primaire/secondaire), système éducatif (niveaux, matières, méthode d’évaluation, terminologie, structure de l’année). L’activation d’une école charge la bonne config. JAMAIS 4 bases de code.</t>
        </is>
      </c>
      <c r="I26" s="16" t="inlineStr">
        <is>
          <t>Chaque école doit sentir qu’elle a un ERP local conçu pour SON système éducatif, pas un produit étranger traduit. C’est l’argument de vente régional.</t>
        </is>
      </c>
      <c r="J26" s="16" t="inlineStr">
        <is>
          <t>Tout le produit</t>
        </is>
      </c>
      <c r="K26" s="16" t="inlineStr">
        <is>
          <t>Global</t>
        </is>
      </c>
      <c r="L26" s="16" t="inlineStr">
        <is>
          <t>owner, schooladmin</t>
        </is>
      </c>
      <c r="M26" s="22" t="inlineStr">
        <is>
          <t>P2 - High</t>
        </is>
      </c>
      <c r="N26" s="16" t="inlineStr">
        <is>
          <t>XL</t>
        </is>
      </c>
      <c r="O26" s="21" t="inlineStr">
        <is>
          <t>DONE</t>
        </is>
      </c>
      <c r="P26" s="16" t="inlineStr">
        <is>
          <t>2026-07-23</t>
        </is>
      </c>
      <c r="Q26" s="16" t="inlineStr">
        <is>
          <t>CR-023 (pays), CR-016/020 (modèle de rôles — FAIT)</t>
        </is>
      </c>
      <c r="R26" s="16" t="inlineStr">
        <is>
          <t>À DÉCOUPER. La couche LANGUE existe déjà (i18n + packs pays) → activable vite. La couche CURRICULUM (niveaux/matières/évaluation/terminologie par pays) est le gros œuvre ERP : la faire pays par pays, à mesure que tu signes chaque marché. Ne PAS tout construire d’un coup.</t>
        </is>
      </c>
      <c r="S26" s="16" t="inlineStr"/>
      <c r="T26" s="16" t="inlineStr">
        <is>
          <t>LIVRÉ. Couche curriculum par pays : matières + barème (/20 Tunisie, /100 Golfe) + échelle de mentions, dans locales.js. La grille de notes affiche le bon barème selon le pays. Ajouter un pays = un objet curriculum de plus. La terminologie fine se peaufine par marché.</t>
        </is>
      </c>
    </row>
    <row r="27" ht="120" customHeight="1">
      <c r="A27" s="16" t="inlineStr">
        <is>
          <t>CR-025</t>
        </is>
      </c>
      <c r="B27" s="16" t="inlineStr">
        <is>
          <t>2026-07-23</t>
        </is>
      </c>
      <c r="C27" s="16" t="inlineStr">
        <is>
          <t>Othman</t>
        </is>
      </c>
      <c r="D27" s="16" t="n">
        <v>3</v>
      </c>
      <c r="E27" s="16" t="inlineStr">
        <is>
          <t>Epic</t>
        </is>
      </c>
      <c r="F27" s="16" t="inlineStr">
        <is>
          <t>ERP architecture</t>
        </is>
      </c>
      <c r="G27" s="17" t="inlineStr">
        <is>
          <t>La « Bible » d’architecture produit + références ERP à étudier</t>
        </is>
      </c>
      <c r="H27" s="16" t="inlineStr">
        <is>
          <t>Constitution du produit : plateforme ERP régionale multi-pays / multi-tenant / multi-école / multi-langue (un seul cœur + config par pays). Deux identités (référence ERP vs identité humaine). API-first web+mobile. Sécurité (RBAC, isolation tenant, audit). Prêt IA. + références à étudier (ERPNext Education, Odoo, SAP/NetSuite/Dynamics) pour les PATTERNS, pas les interfaces.</t>
        </is>
      </c>
      <c r="I27" s="16" t="inlineStr">
        <is>
          <t>Empêcher les sessions futures d’abîmer l’architecture peu à peu. Chaque changement se vérifie contre la Bible.</t>
        </is>
      </c>
      <c r="J27" s="16" t="inlineStr">
        <is>
          <t>Tout le produit</t>
        </is>
      </c>
      <c r="K27" s="16" t="inlineStr">
        <is>
          <t>docs/quality/ARCHITECTURE-BIBLE.md</t>
        </is>
      </c>
      <c r="L27" s="16" t="inlineStr">
        <is>
          <t>owner</t>
        </is>
      </c>
      <c r="M27" s="16" t="inlineStr">
        <is>
          <t>P1 - Immediate</t>
        </is>
      </c>
      <c r="N27" s="16" t="inlineStr">
        <is>
          <t>—</t>
        </is>
      </c>
      <c r="O27" s="21" t="inlineStr">
        <is>
          <t>DONE</t>
        </is>
      </c>
      <c r="P27" s="16" t="inlineStr">
        <is>
          <t>5123df2 · 2026-07-23</t>
        </is>
      </c>
      <c r="Q27" s="16" t="inlineStr">
        <is>
          <t>CR-004/005/016/017/018/020/023 (déjà faits)</t>
        </is>
      </c>
      <c r="R27" s="16" t="inlineStr">
        <is>
          <t>LIVRÉ : docs/quality/ARCHITECTURE-BIBLE.md — la constitution, avec le tableau ÉTAT vs CIBLE (§11), la règle « classer avant de coder » (§12), le séquencement vers la vente (§13) et les références étudiées (§10). À ouvrir avant toute décision d’architecture.</t>
        </is>
      </c>
      <c r="S27" s="16" t="inlineStr"/>
      <c r="T27" s="16" t="inlineStr"/>
    </row>
    <row r="28" ht="120" customHeight="1">
      <c r="A28" s="16" t="inlineStr">
        <is>
          <t>CR-026</t>
        </is>
      </c>
      <c r="B28" s="16" t="inlineStr">
        <is>
          <t>2026-07-23</t>
        </is>
      </c>
      <c r="C28" s="16" t="inlineStr">
        <is>
          <t>Othman</t>
        </is>
      </c>
      <c r="D28" s="16" t="n">
        <v>0</v>
      </c>
      <c r="E28" s="16" t="inlineStr">
        <is>
          <t>Research</t>
        </is>
      </c>
      <c r="F28" s="16" t="inlineStr">
        <is>
          <t>ERP architecture</t>
        </is>
      </c>
      <c r="G28" s="17" t="inlineStr">
        <is>
          <t>Analyse d’écart vs ERP éducatifs professionnels (+ priorités Golfe)</t>
        </is>
      </c>
      <c r="H28" s="16" t="inlineStr">
        <is>
          <t>Étudier les références fournies (ERPNext/Odoo Education, SAP/NetSuite/Dynamics, ERP scolaires du commerce) et découvrir ce qu’on n’a pas encore bâti. Focus marché : Bahreïn/Qatar.</t>
        </is>
      </c>
      <c r="I28" s="16" t="inlineStr">
        <is>
          <t>Savoir exactement ce qui manque pour vendre au Golfe, et distinguer un bloqueur d’un confort.</t>
        </is>
      </c>
      <c r="J28" s="16" t="inlineStr">
        <is>
          <t>Tout le produit</t>
        </is>
      </c>
      <c r="K28" s="16" t="inlineStr">
        <is>
          <t>docs/quality/gap-analysis.md</t>
        </is>
      </c>
      <c r="L28" s="16" t="inlineStr">
        <is>
          <t>owner</t>
        </is>
      </c>
      <c r="M28" s="16" t="inlineStr">
        <is>
          <t>P1 - Immediate</t>
        </is>
      </c>
      <c r="N28" s="16" t="inlineStr">
        <is>
          <t>—</t>
        </is>
      </c>
      <c r="O28" s="21" t="inlineStr">
        <is>
          <t>DONE</t>
        </is>
      </c>
      <c r="P28" s="16" t="inlineStr">
        <is>
          <t>2026-07-23</t>
        </is>
      </c>
      <c r="Q28" s="16" t="inlineStr">
        <is>
          <t>CR-025 (Bible)</t>
        </is>
      </c>
      <c r="R28" s="16" t="inlineStr">
        <is>
          <t>LIVRÉ : docs/quality/gap-analysis.md — 3 axes de recherche synthétisés. TIER-1 bloqueurs Golfe : passerelle de paiement régionale, transport+GPS, facturation TVA, calendrier Hijri, reporting Ministère. + manques d’architecture (journal d’audit, isolation tenant, moteur de workflow, reporting à dimensions) et de modèle académique (Grading Scale, Programme›Cours, Assessment Plan, Fee Structure). Séquencement vers la vente au §6. Reporté dans la Bible.</t>
        </is>
      </c>
      <c r="S28" s="16" t="inlineStr"/>
      <c r="T28" s="16" t="inlineStr"/>
    </row>
    <row r="29">
      <c r="A29" s="16" t="inlineStr">
        <is>
          <t>CR-027</t>
        </is>
      </c>
      <c r="B29" s="16" t="inlineStr">
        <is>
          <t>2026-07-23</t>
        </is>
      </c>
      <c r="C29" s="16" t="inlineStr">
        <is>
          <t>Othman</t>
        </is>
      </c>
      <c r="D29" s="16" t="inlineStr">
        <is>
          <t>—</t>
        </is>
      </c>
      <c r="E29" s="16" t="inlineStr">
        <is>
          <t>Security</t>
        </is>
      </c>
      <c r="F29" s="16" t="inlineStr">
        <is>
          <t>ERP architecture / Role model</t>
        </is>
      </c>
      <c r="G29" s="16" t="inlineStr">
        <is>
          <t>Imposer la séparation : retirer RH &amp; Comptabilité au compte Administration</t>
        </is>
      </c>
      <c r="H29" s="16" t="n"/>
      <c r="I29" s="16" t="inlineStr">
        <is>
          <t>La séparation des tâches est le fondement d'un vrai ERP et du contrôle interne ; sans elle CR-019 n'était que cosmétique.</t>
        </is>
      </c>
      <c r="J29" s="16" t="inlineStr">
        <is>
          <t>Access control</t>
        </is>
      </c>
      <c r="K29" s="16" t="inlineStr">
        <is>
          <t>/app/hr · /app/accounting · /app/finance · /app/budget · /app/staff · /app/recruit</t>
        </is>
      </c>
      <c r="L29" s="16" t="inlineStr">
        <is>
          <t>admin, hr, accountant, schooladmin</t>
        </is>
      </c>
      <c r="M29" s="16" t="inlineStr">
        <is>
          <t>P1 - Immediate</t>
        </is>
      </c>
      <c r="N29" s="16" t="inlineStr">
        <is>
          <t>S</t>
        </is>
      </c>
      <c r="O29" s="16" t="inlineStr">
        <is>
          <t>DONE</t>
        </is>
      </c>
      <c r="P29" s="16" t="inlineStr">
        <is>
          <t>2026-07-23</t>
        </is>
      </c>
      <c r="Q29" s="16" t="n"/>
      <c r="R29" s="16" t="n"/>
      <c r="S29" s="16" t="n"/>
      <c r="T29" s="16" t="inlineStr">
        <is>
          <t>LIVRÉ 2026-07-23. Retiré de access.js ET nav.js (routes) ; acl.js : admin passe de '*' à « tout sauf RH &amp; argent » (HR_MONEY_COLLECTIONS) côté serveur. 3 tests d'exécution + 2 checks smoke-prod. Reste (chantier profondeur) : maker-checker + strip lecture admin — voir hr-accounting-module-spec.md §2/§5.</t>
        </is>
      </c>
    </row>
    <row r="30">
      <c r="A30" s="16" t="inlineStr">
        <is>
          <t>CR-028</t>
        </is>
      </c>
      <c r="B30" s="16" t="inlineStr">
        <is>
          <t>2026-07-23</t>
        </is>
      </c>
      <c r="C30" s="16" t="inlineStr">
        <is>
          <t>Othman</t>
        </is>
      </c>
      <c r="D30" s="16" t="inlineStr">
        <is>
          <t>—</t>
        </is>
      </c>
      <c r="E30" s="16" t="inlineStr">
        <is>
          <t>Epic</t>
        </is>
      </c>
      <c r="F30" s="16" t="inlineStr">
        <is>
          <t>ERP architecture / HR</t>
        </is>
      </c>
      <c r="G30" s="16" t="inlineStr">
        <is>
          <t>Module RH : passer du squelette à un vrai module (recherche + profondeur)</t>
        </is>
      </c>
      <c r="H30" s="16" t="n"/>
      <c r="I30" s="16" t="inlineStr">
        <is>
          <t>La paie est le bloqueur Golfe (WPS, EOSB, salaire multi-composants) ; un ERP scolaire sans vraie RH ne se vend pas au-delà d'une crèche.</t>
        </is>
      </c>
      <c r="J30" s="16" t="inlineStr">
        <is>
          <t>HR</t>
        </is>
      </c>
      <c r="K30" s="16" t="inlineStr">
        <is>
          <t>/app/hr · /app/staff · /app/recruit</t>
        </is>
      </c>
      <c r="L30" s="16" t="inlineStr">
        <is>
          <t>hr, schooladmin</t>
        </is>
      </c>
      <c r="M30" s="16" t="inlineStr">
        <is>
          <t>P2 - High</t>
        </is>
      </c>
      <c r="N30" s="16" t="inlineStr">
        <is>
          <t>XL</t>
        </is>
      </c>
      <c r="O30" s="16" t="inlineStr">
        <is>
          <t>IN PROGRESS</t>
        </is>
      </c>
      <c r="P30" s="16" t="inlineStr"/>
      <c r="Q30" s="16" t="n"/>
      <c r="R30" s="16" t="n"/>
      <c r="S30" s="16" t="n"/>
      <c r="T30" s="16" t="inlineStr">
        <is>
          <t>Volet 1 livré 2026-07-25 (85fb30d) : salaire multi-composants, bulletin de paie, maker-checker.</t>
        </is>
      </c>
    </row>
    <row r="31">
      <c r="A31" s="16" t="inlineStr">
        <is>
          <t>CR-029</t>
        </is>
      </c>
      <c r="B31" s="16" t="inlineStr">
        <is>
          <t>2026-07-23</t>
        </is>
      </c>
      <c r="C31" s="16" t="inlineStr">
        <is>
          <t>Othman</t>
        </is>
      </c>
      <c r="D31" s="16" t="inlineStr">
        <is>
          <t>—</t>
        </is>
      </c>
      <c r="E31" s="16" t="inlineStr">
        <is>
          <t>Epic</t>
        </is>
      </c>
      <c r="F31" s="16" t="inlineStr">
        <is>
          <t>ERP architecture / Accounting</t>
        </is>
      </c>
      <c r="G31" s="16" t="inlineStr">
        <is>
          <t>Module Comptabilité : socle comptable réel (recherche + profondeur)</t>
        </is>
      </c>
      <c r="H31" s="16" t="n"/>
      <c r="I31" s="16" t="inlineStr">
        <is>
          <t>Sans plan comptable, grand livre, balance/bilan et clôture, ce n'est pas de la comptabilité ; TVA + paiement en ligne = bloqueurs Golfe.</t>
        </is>
      </c>
      <c r="J31" s="16" t="inlineStr">
        <is>
          <t>Accounting</t>
        </is>
      </c>
      <c r="K31" s="16" t="inlineStr">
        <is>
          <t>/app/accounting · /app/finance · /app/budget</t>
        </is>
      </c>
      <c r="L31" s="16" t="inlineStr">
        <is>
          <t>accountant, schooladmin</t>
        </is>
      </c>
      <c r="M31" s="16" t="inlineStr">
        <is>
          <t>P2 - High</t>
        </is>
      </c>
      <c r="N31" s="16" t="inlineStr">
        <is>
          <t>XL</t>
        </is>
      </c>
      <c r="O31" s="16" t="inlineStr">
        <is>
          <t>NEW</t>
        </is>
      </c>
      <c r="P31" s="16" t="inlineStr"/>
      <c r="Q31" s="16" t="n"/>
      <c r="R31" s="16" t="n"/>
      <c r="S31" s="16" t="n"/>
      <c r="T31" s="16" t="inlineStr">
        <is>
          <t>SPÉCIFIÉ 2026-07-23 : docs/quality/hr-accounting-module-spec.md §4 (recherche ERPNext/Tally/iSAMS/Edunext). La partie double = décision D-3 du plan des épics. Gap actuel : simple entrée, pas de plan comptable ni balance/bilan, pas d'AP, pas de rapprochement, pas de clôture.</t>
        </is>
      </c>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row>
    <row r="145">
      <c r="A145" t="inlineStr">
        <is>
          <t>CR-030</t>
        </is>
      </c>
      <c r="B145" t="inlineStr">
        <is>
          <t>2026-07-25</t>
        </is>
      </c>
      <c r="C145" t="inlineStr">
        <is>
          <t>Othman</t>
        </is>
      </c>
      <c r="E145" t="inlineStr">
        <is>
          <t>Enhancement</t>
        </is>
      </c>
      <c r="F145" t="inlineStr">
        <is>
          <t>Produit réel</t>
        </is>
      </c>
      <c r="G145" t="inlineStr">
        <is>
          <t>Retirer le concept « démo » du produit</t>
        </is>
      </c>
      <c r="H145" t="inlineStr">
        <is>
          <t>C'est un produit réel maintenant, pas une démonstration. Toute mention démo disparaît de l'interface (web + mobile).</t>
        </is>
      </c>
      <c r="J145" t="inlineStr">
        <is>
          <t>Tout le produit</t>
        </is>
      </c>
      <c r="O145" t="inlineStr">
        <is>
          <t>DONE</t>
        </is>
      </c>
      <c r="T145" t="inlineStr">
        <is>
          <t>Livré 2026-07-25 : CTA « Essai gratuit », « École d'exemple », « Journée simulée » ; i18n AR alignée ; 18/18 e2e verts.</t>
        </is>
      </c>
    </row>
    <row r="146">
      <c r="A146" t="inlineStr">
        <is>
          <t>CR-031</t>
        </is>
      </c>
      <c r="B146" t="inlineStr">
        <is>
          <t>2026-07-25</t>
        </is>
      </c>
      <c r="C146" t="inlineStr">
        <is>
          <t>Othman</t>
        </is>
      </c>
      <c r="E146" t="inlineStr">
        <is>
          <t>Epic</t>
        </is>
      </c>
      <c r="F146" t="inlineStr">
        <is>
          <t>Environnements</t>
        </is>
      </c>
      <c r="G146" t="inlineStr">
        <is>
          <t>3 environnements GitHub : dev / int / prod</t>
        </is>
      </c>
      <c r="H146" t="inlineStr">
        <is>
          <t>prod = ce que les clients reçoivent ; int = modifications client ; dev = développement. À créer à la préparation de la version finale.</t>
        </is>
      </c>
      <c r="J146" t="inlineStr">
        <is>
          <t>Dépôt / CI</t>
        </is>
      </c>
      <c r="O146" t="inlineStr">
        <is>
          <t>TRIAGED</t>
        </is>
      </c>
      <c r="T146" t="inlineStr">
        <is>
          <t>Plan écrit : docs/operations/environments.md. Déclenché par « version finale ».</t>
        </is>
      </c>
    </row>
    <row r="147">
      <c r="A147" t="inlineStr">
        <is>
          <t>CR-032</t>
        </is>
      </c>
      <c r="B147" t="inlineStr">
        <is>
          <t>2026-07-25</t>
        </is>
      </c>
      <c r="C147" t="inlineStr">
        <is>
          <t>Othman</t>
        </is>
      </c>
      <c r="E147" t="inlineStr">
        <is>
          <t>Epic</t>
        </is>
      </c>
      <c r="F147" t="inlineStr">
        <is>
          <t>Versions pays</t>
        </is>
      </c>
      <c r="G147" t="inlineStr">
        <is>
          <t>4 versions produit : Bahreïn, Tunisie, Qatar, Libye</t>
        </is>
      </c>
      <c r="H147" t="inlineStr">
        <is>
          <t>Le cadre permanent du produit. La couche pays existe (locales.js, CR-023/024) ; compléter curriculum/fériés/conformité par pays.</t>
        </is>
      </c>
      <c r="J147" t="inlineStr">
        <is>
          <t>Couche pays</t>
        </is>
      </c>
      <c r="O147" t="inlineStr">
        <is>
          <t>IN PROGRESS</t>
        </is>
      </c>
      <c r="T147" t="inlineStr">
        <is>
          <t>BH/QA/TN/LY présents dans locales.js ; manques Tier-1 par pays dans gap-analysis.md.</t>
        </is>
      </c>
    </row>
    <row r="148">
      <c r="A148" t="inlineStr">
        <is>
          <t>CR-033</t>
        </is>
      </c>
      <c r="B148" t="inlineStr">
        <is>
          <t>2026-07-25</t>
        </is>
      </c>
      <c r="C148" t="inlineStr">
        <is>
          <t>Othman</t>
        </is>
      </c>
      <c r="E148" t="inlineStr">
        <is>
          <t>New feature</t>
        </is>
      </c>
      <c r="F148" t="inlineStr">
        <is>
          <t>Documentation produit</t>
        </is>
      </c>
      <c r="G148" t="inlineStr">
        <is>
          <t>Catalogue produit Excel : tous les éléments décrits</t>
        </is>
      </c>
      <c r="H148" t="inlineStr">
        <is>
          <t>Modules, services, rôles, comptes, pays, intégrations — web et mobile sur la même ligne.</t>
        </is>
      </c>
      <c r="J148" t="inlineStr">
        <is>
          <t>docs/quality</t>
        </is>
      </c>
      <c r="O148" t="inlineStr">
        <is>
          <t>DONE</t>
        </is>
      </c>
      <c r="T148" t="inlineStr">
        <is>
          <t>Livré 2026-07-25 : Coreon-EDU_Product-Catalog.xlsx + générateur build-product-catalog.py (régénérable du code).</t>
        </is>
      </c>
    </row>
    <row r="149">
      <c r="A149" t="inlineStr">
        <is>
          <t>CR-034</t>
        </is>
      </c>
      <c r="B149" t="inlineStr">
        <is>
          <t>2026-07-25</t>
        </is>
      </c>
      <c r="C149" t="inlineStr">
        <is>
          <t>Othman</t>
        </is>
      </c>
      <c r="E149" t="inlineStr">
        <is>
          <t>Epic</t>
        </is>
      </c>
      <c r="F149" t="inlineStr">
        <is>
          <t>Intégrations</t>
        </is>
      </c>
      <c r="G149" t="inlineStr">
        <is>
          <t>Porte d'intégration système (import des données client)</t>
        </is>
      </c>
      <c r="H149" t="inlineStr">
        <is>
          <t>La porte par laquelle un client apporte SES données : import OneRoster/CSV guidé (correspondance de colonnes, validation, rapport), puis API REST + webhooks.</t>
        </is>
      </c>
      <c r="J149" t="inlineStr">
        <is>
          <t>Intégrations</t>
        </is>
      </c>
      <c r="O149" t="inlineStr">
        <is>
          <t>NEW</t>
        </is>
      </c>
      <c r="T149" t="inlineStr">
        <is>
          <t>Demandé 2026-07-25. Après : l'hébergement backend. Export OneRoster + import JSON serveur existent déjà.</t>
        </is>
      </c>
    </row>
  </sheetData>
  <autoFilter ref="A2:T2"/>
  <mergeCells count="1">
    <mergeCell ref="A1:T1"/>
  </mergeCells>
  <conditionalFormatting sqref="M3:M224">
    <cfRule type="cellIs" priority="1" operator="equal" dxfId="1">
      <formula>"P1 - Immediate"</formula>
    </cfRule>
    <cfRule type="cellIs" priority="2" operator="equal" dxfId="2">
      <formula>"P2 - High"</formula>
    </cfRule>
  </conditionalFormatting>
  <conditionalFormatting sqref="O3:O224">
    <cfRule type="cellIs" priority="3" operator="equal" dxfId="0">
      <formula>"DONE"</formula>
    </cfRule>
    <cfRule type="cellIs" priority="4" operator="equal" dxfId="0">
      <formula>"APPROVED"</formula>
    </cfRule>
    <cfRule type="cellIs" priority="5" operator="equal" dxfId="2">
      <formula>"IN PROGRESS"</formula>
    </cfRule>
    <cfRule type="cellIs" priority="6" operator="equal" dxfId="3">
      <formula>"NEW"</formula>
    </cfRule>
    <cfRule type="cellIs" priority="7" operator="equal" dxfId="3">
      <formula>"TRIAGED"</formula>
    </cfRule>
    <cfRule type="cellIs" priority="8" operator="equal" dxfId="1">
      <formula>"REJECTED"</formula>
    </cfRule>
    <cfRule type="cellIs" priority="9" operator="equal" dxfId="3">
      <formula>"DEFERRED"</formula>
    </cfRule>
  </conditionalFormatting>
  <dataValidations count="5">
    <dataValidation sqref="M3:M224" showDropDown="0" showInputMessage="0" showErrorMessage="0" allowBlank="1" type="list">
      <formula1>=Lists!$C$2:$C$5</formula1>
    </dataValidation>
    <dataValidation sqref="E3:E224" showDropDown="0" showInputMessage="0" showErrorMessage="0" allowBlank="1" type="list">
      <formula1>=Lists!$O$2:$O$7</formula1>
    </dataValidation>
    <dataValidation sqref="O3:O224" showDropDown="0" showInputMessage="0" showErrorMessage="0" allowBlank="1" type="list">
      <formula1>=Lists!$P$2:$P$8</formula1>
    </dataValidation>
    <dataValidation sqref="N3:N224" showDropDown="0" showInputMessage="0" showErrorMessage="0" allowBlank="1" type="list">
      <formula1>=Lists!$Q$2:$Q$6</formula1>
    </dataValidation>
    <dataValidation sqref="L3:L224" showDropDown="0" showInputMessage="0" showErrorMessage="0" allowBlank="1" type="list">
      <formula1>=Lists!$F$2:$F$9</formula1>
    </dataValidation>
  </dataValidations>
  <pageMargins left="0.75" right="0.75" top="1" bottom="1" header="0.5" footer="0.5"/>
</worksheet>
</file>

<file path=xl/worksheets/sheet6.xml><?xml version="1.0" encoding="utf-8"?>
<worksheet xmlns="http://schemas.openxmlformats.org/spreadsheetml/2006/main">
  <sheetPr>
    <tabColor rgb="002F8050"/>
    <outlinePr summaryBelow="1" summaryRight="1"/>
    <pageSetUpPr/>
  </sheetPr>
  <dimension ref="A1:N5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4" customWidth="1" min="3" max="3"/>
    <col width="34" customWidth="1" min="4" max="4"/>
    <col width="42" customWidth="1" min="5" max="5"/>
    <col width="11" customWidth="1" min="6" max="6"/>
    <col width="14" customWidth="1" min="7" max="7"/>
    <col width="13" customWidth="1" min="8" max="8"/>
    <col width="9" customWidth="1" min="9" max="9"/>
    <col width="9" customWidth="1" min="10" max="10"/>
    <col width="8" customWidth="1" min="11" max="11"/>
    <col width="11" customWidth="1" min="12" max="12"/>
    <col width="12" customWidth="1" min="13" max="13"/>
    <col width="26" customWidth="1" min="14" max="14"/>
  </cols>
  <sheetData>
    <row r="1" ht="26" customHeight="1">
      <c r="A1" s="13" t="inlineStr">
        <is>
          <t>MODULE INVENTORY — 51 testable surfaces.  Work through them one at a time.  Coverage % fills itself from the Tested / Elements found columns.</t>
        </is>
      </c>
    </row>
    <row r="2" ht="42" customHeight="1">
      <c r="A2" s="14" t="inlineStr">
        <is>
          <t>#</t>
        </is>
      </c>
      <c r="B2" s="14" t="inlineStr">
        <is>
          <t>Module / Feature</t>
        </is>
      </c>
      <c r="C2" s="14" t="inlineStr">
        <is>
          <t>Route (URL)</t>
        </is>
      </c>
      <c r="D2" s="14" t="inlineStr">
        <is>
          <t>Roles that can access</t>
        </is>
      </c>
      <c r="E2" s="14" t="inlineStr">
        <is>
          <t>Notes / risk</t>
        </is>
      </c>
      <c r="F2" s="14" t="inlineStr">
        <is>
          <t>Owner</t>
        </is>
      </c>
      <c r="G2" s="14" t="inlineStr">
        <is>
          <t>Status</t>
        </is>
      </c>
      <c r="H2" s="14" t="inlineStr">
        <is>
          <t>Elements found</t>
        </is>
      </c>
      <c r="I2" s="14" t="inlineStr">
        <is>
          <t>Tested</t>
        </is>
      </c>
      <c r="J2" s="14" t="inlineStr">
        <is>
          <t>Passed</t>
        </is>
      </c>
      <c r="K2" s="14" t="inlineStr">
        <is>
          <t>Failed</t>
        </is>
      </c>
      <c r="L2" s="14" t="inlineStr">
        <is>
          <t>Coverage %</t>
        </is>
      </c>
      <c r="M2" s="14" t="inlineStr">
        <is>
          <t>Last tested</t>
        </is>
      </c>
      <c r="N2" s="14" t="inlineStr">
        <is>
          <t>Comments</t>
        </is>
      </c>
    </row>
    <row r="3">
      <c r="A3" s="16" t="n">
        <v>1</v>
      </c>
      <c r="B3" s="17" t="inlineStr">
        <is>
          <t>Landing page</t>
        </is>
      </c>
      <c r="C3" s="16" t="inlineStr">
        <is>
          <t>#/</t>
        </is>
      </c>
      <c r="D3" s="16" t="inlineStr">
        <is>
          <t>public</t>
        </is>
      </c>
      <c r="E3" s="16" t="inlineStr">
        <is>
          <t>Marketing, 8 CTAs, FAQ accordion</t>
        </is>
      </c>
      <c r="F3" s="16" t="n"/>
      <c r="G3" s="16" t="inlineStr">
        <is>
          <t>Not started</t>
        </is>
      </c>
      <c r="H3" s="16" t="n"/>
      <c r="I3" s="16" t="n"/>
      <c r="J3" s="16" t="n"/>
      <c r="K3" s="16" t="n"/>
      <c r="L3" s="18">
        <f>IF(N(H3)=0,"",J3/H3)</f>
        <v/>
      </c>
      <c r="M3" s="16" t="n"/>
      <c r="N3" s="16" t="n"/>
    </row>
    <row r="4">
      <c r="A4" s="16" t="n">
        <v>2</v>
      </c>
      <c r="B4" s="17" t="inlineStr">
        <is>
          <t>Login</t>
        </is>
      </c>
      <c r="C4" s="16" t="inlineStr">
        <is>
          <t>#/login</t>
        </is>
      </c>
      <c r="D4" s="16" t="inlineStr">
        <is>
          <t>public</t>
        </is>
      </c>
      <c r="E4" s="16" t="inlineStr">
        <is>
          <t>7 demo role buttons, FR/AR switch</t>
        </is>
      </c>
      <c r="F4" s="16" t="n"/>
      <c r="G4" s="16" t="inlineStr">
        <is>
          <t>Not started</t>
        </is>
      </c>
      <c r="H4" s="16" t="n"/>
      <c r="I4" s="16" t="n"/>
      <c r="J4" s="16" t="n"/>
      <c r="K4" s="16" t="n"/>
      <c r="L4" s="18">
        <f>IF(N(H4)=0,"",J4/H4)</f>
        <v/>
      </c>
      <c r="M4" s="16" t="n"/>
      <c r="N4" s="16" t="n"/>
    </row>
    <row r="5">
      <c r="A5" s="16" t="n">
        <v>3</v>
      </c>
      <c r="B5" s="17" t="inlineStr">
        <is>
          <t>Setup wizard</t>
        </is>
      </c>
      <c r="C5" s="16" t="inlineStr">
        <is>
          <t>#/setup</t>
        </is>
      </c>
      <c r="D5" s="16" t="inlineStr">
        <is>
          <t>schooladmin</t>
        </is>
      </c>
      <c r="E5" s="16" t="inlineStr">
        <is>
          <t>First-run; currently outside the auth guard</t>
        </is>
      </c>
      <c r="F5" s="16" t="n"/>
      <c r="G5" s="16" t="inlineStr">
        <is>
          <t>Not started</t>
        </is>
      </c>
      <c r="H5" s="16" t="n"/>
      <c r="I5" s="16" t="n"/>
      <c r="J5" s="16" t="n"/>
      <c r="K5" s="16" t="n"/>
      <c r="L5" s="18">
        <f>IF(N(H5)=0,"",J5/H5)</f>
        <v/>
      </c>
      <c r="M5" s="16" t="n"/>
      <c r="N5" s="16" t="n"/>
    </row>
    <row r="6">
      <c r="A6" s="16" t="n">
        <v>4</v>
      </c>
      <c r="B6" s="17" t="inlineStr">
        <is>
          <t>Pre-enrolment (public)</t>
        </is>
      </c>
      <c r="C6" s="16" t="inlineStr">
        <is>
          <t>#/inscription</t>
        </is>
      </c>
      <c r="D6" s="16" t="inlineStr">
        <is>
          <t>public</t>
        </is>
      </c>
      <c r="E6" s="16" t="inlineStr">
        <is>
          <t>Public form + attachments</t>
        </is>
      </c>
      <c r="F6" s="16" t="n"/>
      <c r="G6" s="16" t="inlineStr">
        <is>
          <t>Not started</t>
        </is>
      </c>
      <c r="H6" s="16" t="n"/>
      <c r="I6" s="16" t="n"/>
      <c r="J6" s="16" t="n"/>
      <c r="K6" s="16" t="n"/>
      <c r="L6" s="18">
        <f>IF(N(H6)=0,"",J6/H6)</f>
        <v/>
      </c>
      <c r="M6" s="16" t="n"/>
      <c r="N6" s="16" t="n"/>
    </row>
    <row r="7">
      <c r="A7" s="16" t="n">
        <v>5</v>
      </c>
      <c r="B7" s="17" t="inlineStr">
        <is>
          <t>Dashboard</t>
        </is>
      </c>
      <c r="C7" s="16" t="inlineStr">
        <is>
          <t>#/app</t>
        </is>
      </c>
      <c r="D7" s="16" t="inlineStr">
        <is>
          <t>all 7</t>
        </is>
      </c>
      <c r="E7" s="16" t="inlineStr">
        <is>
          <t>6 different dashboards in one page</t>
        </is>
      </c>
      <c r="F7" s="16" t="n"/>
      <c r="G7" s="16" t="inlineStr">
        <is>
          <t>Not started</t>
        </is>
      </c>
      <c r="H7" s="16" t="n"/>
      <c r="I7" s="16" t="n"/>
      <c r="J7" s="16" t="n"/>
      <c r="K7" s="16" t="n"/>
      <c r="L7" s="18">
        <f>IF(N(H7)=0,"",J7/H7)</f>
        <v/>
      </c>
      <c r="M7" s="16" t="n"/>
      <c r="N7" s="16" t="n"/>
    </row>
    <row r="8">
      <c r="A8" s="16" t="n">
        <v>6</v>
      </c>
      <c r="B8" s="17" t="inlineStr">
        <is>
          <t>Schools (SaaS console)</t>
        </is>
      </c>
      <c r="C8" s="16" t="inlineStr">
        <is>
          <t>#/app/schools</t>
        </is>
      </c>
      <c r="D8" s="16" t="inlineStr">
        <is>
          <t>owner</t>
        </is>
      </c>
      <c r="E8" s="16" t="inlineStr"/>
      <c r="F8" s="16" t="n"/>
      <c r="G8" s="16" t="inlineStr">
        <is>
          <t>Not started</t>
        </is>
      </c>
      <c r="H8" s="16" t="n"/>
      <c r="I8" s="16" t="n"/>
      <c r="J8" s="16" t="n"/>
      <c r="K8" s="16" t="n"/>
      <c r="L8" s="18">
        <f>IF(N(H8)=0,"",J8/H8)</f>
        <v/>
      </c>
      <c r="M8" s="16" t="n"/>
      <c r="N8" s="16" t="n"/>
    </row>
    <row r="9">
      <c r="A9" s="16" t="n">
        <v>7</v>
      </c>
      <c r="B9" s="17" t="inlineStr">
        <is>
          <t>Settings</t>
        </is>
      </c>
      <c r="C9" s="16" t="inlineStr">
        <is>
          <t>#/app/settings</t>
        </is>
      </c>
      <c r="D9" s="16" t="inlineStr">
        <is>
          <t>schooladmin</t>
        </is>
      </c>
      <c r="E9" s="16" t="inlineStr">
        <is>
          <t>6 tabs</t>
        </is>
      </c>
      <c r="F9" s="16" t="n"/>
      <c r="G9" s="16" t="inlineStr">
        <is>
          <t>Not started</t>
        </is>
      </c>
      <c r="H9" s="16" t="n"/>
      <c r="I9" s="16" t="n"/>
      <c r="J9" s="16" t="n"/>
      <c r="K9" s="16" t="n"/>
      <c r="L9" s="18">
        <f>IF(N(H9)=0,"",J9/H9)</f>
        <v/>
      </c>
      <c r="M9" s="16" t="n"/>
      <c r="N9" s="16" t="n"/>
    </row>
    <row r="10">
      <c r="A10" s="16" t="n">
        <v>8</v>
      </c>
      <c r="B10" s="17" t="inlineStr">
        <is>
          <t>Accounts</t>
        </is>
      </c>
      <c r="C10" s="16" t="inlineStr">
        <is>
          <t>#/app/accounts</t>
        </is>
      </c>
      <c r="D10" s="16" t="inlineStr">
        <is>
          <t>schooladmin</t>
        </is>
      </c>
      <c r="E10" s="16" t="inlineStr">
        <is>
          <t>Last Direction account is protected</t>
        </is>
      </c>
      <c r="F10" s="16" t="n"/>
      <c r="G10" s="16" t="inlineStr">
        <is>
          <t>Not started</t>
        </is>
      </c>
      <c r="H10" s="16" t="n"/>
      <c r="I10" s="16" t="n"/>
      <c r="J10" s="16" t="n"/>
      <c r="K10" s="16" t="n"/>
      <c r="L10" s="18">
        <f>IF(N(H10)=0,"",J10/H10)</f>
        <v/>
      </c>
      <c r="M10" s="16" t="n"/>
      <c r="N10" s="16" t="n"/>
    </row>
    <row r="11">
      <c r="A11" s="16" t="n">
        <v>9</v>
      </c>
      <c r="B11" s="17" t="inlineStr">
        <is>
          <t>Students</t>
        </is>
      </c>
      <c r="C11" s="16" t="inlineStr">
        <is>
          <t>#/app/students</t>
        </is>
      </c>
      <c r="D11" s="16" t="inlineStr">
        <is>
          <t>schooladmin, admin, supervisor, teacher</t>
        </is>
      </c>
      <c r="E11" s="16" t="inlineStr">
        <is>
          <t>DataTable + 24-field modal</t>
        </is>
      </c>
      <c r="F11" s="16" t="n"/>
      <c r="G11" s="16" t="inlineStr">
        <is>
          <t>Not started</t>
        </is>
      </c>
      <c r="H11" s="16" t="n"/>
      <c r="I11" s="16" t="n"/>
      <c r="J11" s="16" t="n"/>
      <c r="K11" s="16" t="n"/>
      <c r="L11" s="18">
        <f>IF(N(H11)=0,"",J11/H11)</f>
        <v/>
      </c>
      <c r="M11" s="16" t="n"/>
      <c r="N11" s="16" t="n"/>
    </row>
    <row r="12">
      <c r="A12" s="16" t="n">
        <v>10</v>
      </c>
      <c r="B12" s="17" t="inlineStr">
        <is>
          <t>Student profile (360)</t>
        </is>
      </c>
      <c r="C12" s="16" t="inlineStr">
        <is>
          <t>#/app/eleve/:id</t>
        </is>
      </c>
      <c r="D12" s="16" t="inlineStr">
        <is>
          <t>schooladmin, admin, supervisor, teacher</t>
        </is>
      </c>
      <c r="E12" s="16" t="inlineStr"/>
      <c r="F12" s="16" t="n"/>
      <c r="G12" s="16" t="inlineStr">
        <is>
          <t>Not started</t>
        </is>
      </c>
      <c r="H12" s="16" t="n"/>
      <c r="I12" s="16" t="n"/>
      <c r="J12" s="16" t="n"/>
      <c r="K12" s="16" t="n"/>
      <c r="L12" s="18">
        <f>IF(N(H12)=0,"",J12/H12)</f>
        <v/>
      </c>
      <c r="M12" s="16" t="n"/>
      <c r="N12" s="16" t="n"/>
    </row>
    <row r="13">
      <c r="A13" s="16" t="n">
        <v>11</v>
      </c>
      <c r="B13" s="17" t="inlineStr">
        <is>
          <t>Teachers</t>
        </is>
      </c>
      <c r="C13" s="16" t="inlineStr">
        <is>
          <t>#/app/teachers</t>
        </is>
      </c>
      <c r="D13" s="16" t="inlineStr">
        <is>
          <t>schooladmin, admin</t>
        </is>
      </c>
      <c r="E13" s="16" t="inlineStr">
        <is>
          <t>14-field add modal</t>
        </is>
      </c>
      <c r="F13" s="16" t="n"/>
      <c r="G13" s="16" t="inlineStr">
        <is>
          <t>Not started</t>
        </is>
      </c>
      <c r="H13" s="16" t="n"/>
      <c r="I13" s="16" t="n"/>
      <c r="J13" s="16" t="n"/>
      <c r="K13" s="16" t="n"/>
      <c r="L13" s="18">
        <f>IF(N(H13)=0,"",J13/H13)</f>
        <v/>
      </c>
      <c r="M13" s="16" t="n"/>
      <c r="N13" s="16" t="n"/>
    </row>
    <row r="14">
      <c r="A14" s="16" t="n">
        <v>12</v>
      </c>
      <c r="B14" s="17" t="inlineStr">
        <is>
          <t>Staff attendance</t>
        </is>
      </c>
      <c r="C14" s="16" t="inlineStr">
        <is>
          <t>#/app/staff</t>
        </is>
      </c>
      <c r="D14" s="16" t="inlineStr">
        <is>
          <t>schooladmin, admin</t>
        </is>
      </c>
      <c r="E14" s="16" t="inlineStr">
        <is>
          <t>3 tabs, CSV export</t>
        </is>
      </c>
      <c r="F14" s="16" t="n"/>
      <c r="G14" s="16" t="inlineStr">
        <is>
          <t>Not started</t>
        </is>
      </c>
      <c r="H14" s="16" t="n"/>
      <c r="I14" s="16" t="n"/>
      <c r="J14" s="16" t="n"/>
      <c r="K14" s="16" t="n"/>
      <c r="L14" s="18">
        <f>IF(N(H14)=0,"",J14/H14)</f>
        <v/>
      </c>
      <c r="M14" s="16" t="n"/>
      <c r="N14" s="16" t="n"/>
    </row>
    <row r="15">
      <c r="A15" s="16" t="n">
        <v>13</v>
      </c>
      <c r="B15" s="17" t="inlineStr">
        <is>
          <t>HR</t>
        </is>
      </c>
      <c r="C15" s="16" t="inlineStr">
        <is>
          <t>#/app/hr</t>
        </is>
      </c>
      <c r="D15" s="16" t="inlineStr">
        <is>
          <t>schooladmin, admin</t>
        </is>
      </c>
      <c r="E15" s="16" t="inlineStr">
        <is>
          <t>Payroll: prepare &gt; recalc &gt; validate &gt; paid</t>
        </is>
      </c>
      <c r="F15" s="16" t="n"/>
      <c r="G15" s="16" t="inlineStr">
        <is>
          <t>Not started</t>
        </is>
      </c>
      <c r="H15" s="16" t="n"/>
      <c r="I15" s="16" t="n"/>
      <c r="J15" s="16" t="n"/>
      <c r="K15" s="16" t="n"/>
      <c r="L15" s="18">
        <f>IF(N(H15)=0,"",J15/H15)</f>
        <v/>
      </c>
      <c r="M15" s="16" t="n"/>
      <c r="N15" s="16" t="n"/>
    </row>
    <row r="16">
      <c r="A16" s="16" t="n">
        <v>14</v>
      </c>
      <c r="B16" s="17" t="inlineStr">
        <is>
          <t>Accounting</t>
        </is>
      </c>
      <c r="C16" s="16" t="inlineStr">
        <is>
          <t>#/app/accounting</t>
        </is>
      </c>
      <c r="D16" s="16" t="inlineStr">
        <is>
          <t>schooladmin, admin</t>
        </is>
      </c>
      <c r="E16" s="16" t="inlineStr">
        <is>
          <t>Invoices immutable, credit notes</t>
        </is>
      </c>
      <c r="F16" s="16" t="n"/>
      <c r="G16" s="16" t="inlineStr">
        <is>
          <t>Not started</t>
        </is>
      </c>
      <c r="H16" s="16" t="n"/>
      <c r="I16" s="16" t="n"/>
      <c r="J16" s="16" t="n"/>
      <c r="K16" s="16" t="n"/>
      <c r="L16" s="18">
        <f>IF(N(H16)=0,"",J16/H16)</f>
        <v/>
      </c>
      <c r="M16" s="16" t="n"/>
      <c r="N16" s="16" t="n"/>
    </row>
    <row r="17">
      <c r="A17" s="16" t="n">
        <v>15</v>
      </c>
      <c r="B17" s="17" t="inlineStr">
        <is>
          <t>Academic</t>
        </is>
      </c>
      <c r="C17" s="16" t="inlineStr">
        <is>
          <t>#/app/academic</t>
        </is>
      </c>
      <c r="D17" s="16" t="inlineStr">
        <is>
          <t>schooladmin, admin, teacher</t>
        </is>
      </c>
      <c r="E17" s="16" t="inlineStr">
        <is>
          <t>Year promotion is irreversible</t>
        </is>
      </c>
      <c r="F17" s="16" t="n"/>
      <c r="G17" s="16" t="inlineStr">
        <is>
          <t>Not started</t>
        </is>
      </c>
      <c r="H17" s="16" t="n"/>
      <c r="I17" s="16" t="n"/>
      <c r="J17" s="16" t="n"/>
      <c r="K17" s="16" t="n"/>
      <c r="L17" s="18">
        <f>IF(N(H17)=0,"",J17/H17)</f>
        <v/>
      </c>
      <c r="M17" s="16" t="n"/>
      <c r="N17" s="16" t="n"/>
    </row>
    <row r="18">
      <c r="A18" s="16" t="n">
        <v>16</v>
      </c>
      <c r="B18" s="17" t="inlineStr">
        <is>
          <t>Facilities</t>
        </is>
      </c>
      <c r="C18" s="16" t="inlineStr">
        <is>
          <t>#/app/facilities</t>
        </is>
      </c>
      <c r="D18" s="16" t="inlineStr">
        <is>
          <t>schooladmin, admin</t>
        </is>
      </c>
      <c r="E18" s="16" t="inlineStr">
        <is>
          <t>Booking conflicts</t>
        </is>
      </c>
      <c r="F18" s="16" t="n"/>
      <c r="G18" s="16" t="inlineStr">
        <is>
          <t>Not started</t>
        </is>
      </c>
      <c r="H18" s="16" t="n"/>
      <c r="I18" s="16" t="n"/>
      <c r="J18" s="16" t="n"/>
      <c r="K18" s="16" t="n"/>
      <c r="L18" s="18">
        <f>IF(N(H18)=0,"",J18/H18)</f>
        <v/>
      </c>
      <c r="M18" s="16" t="n"/>
      <c r="N18" s="16" t="n"/>
    </row>
    <row r="19">
      <c r="A19" s="16" t="n">
        <v>17</v>
      </c>
      <c r="B19" s="17" t="inlineStr">
        <is>
          <t>Pointage (clock-in)</t>
        </is>
      </c>
      <c r="C19" s="16" t="inlineStr">
        <is>
          <t>#/app/pointage</t>
        </is>
      </c>
      <c r="D19" s="16" t="inlineStr">
        <is>
          <t>teacher, supervisor, security, admin</t>
        </is>
      </c>
      <c r="E19" s="16" t="inlineStr"/>
      <c r="F19" s="16" t="n"/>
      <c r="G19" s="16" t="inlineStr">
        <is>
          <t>Not started</t>
        </is>
      </c>
      <c r="H19" s="16" t="n"/>
      <c r="I19" s="16" t="n"/>
      <c r="J19" s="16" t="n"/>
      <c r="K19" s="16" t="n"/>
      <c r="L19" s="18">
        <f>IF(N(H19)=0,"",J19/H19)</f>
        <v/>
      </c>
      <c r="M19" s="16" t="n"/>
      <c r="N19" s="16" t="n"/>
    </row>
    <row r="20">
      <c r="A20" s="16" t="n">
        <v>18</v>
      </c>
      <c r="B20" s="17" t="inlineStr">
        <is>
          <t>Evaluate</t>
        </is>
      </c>
      <c r="C20" s="16" t="inlineStr">
        <is>
          <t>#/app/evaluate</t>
        </is>
      </c>
      <c r="D20" s="16" t="inlineStr">
        <is>
          <t>teacher</t>
        </is>
      </c>
      <c r="E20" s="16" t="inlineStr">
        <is>
          <t>FLAGSHIP FLOW — drag &amp; drop, draft autosave</t>
        </is>
      </c>
      <c r="F20" s="16" t="n"/>
      <c r="G20" s="16" t="inlineStr">
        <is>
          <t>Not started</t>
        </is>
      </c>
      <c r="H20" s="16" t="n"/>
      <c r="I20" s="16" t="n"/>
      <c r="J20" s="16" t="n"/>
      <c r="K20" s="16" t="n"/>
      <c r="L20" s="18">
        <f>IF(N(H20)=0,"",J20/H20)</f>
        <v/>
      </c>
      <c r="M20" s="16" t="n"/>
      <c r="N20" s="16" t="n"/>
    </row>
    <row r="21">
      <c r="A21" s="16" t="n">
        <v>19</v>
      </c>
      <c r="B21" s="17" t="inlineStr">
        <is>
          <t>Child file</t>
        </is>
      </c>
      <c r="C21" s="16" t="inlineStr">
        <is>
          <t>#/app/child</t>
        </is>
      </c>
      <c r="D21" s="16" t="inlineStr">
        <is>
          <t>teacher, admin, schooladmin</t>
        </is>
      </c>
      <c r="E21" s="16" t="inlineStr">
        <is>
          <t>Pickup authorisations, health</t>
        </is>
      </c>
      <c r="F21" s="16" t="n"/>
      <c r="G21" s="16" t="inlineStr">
        <is>
          <t>Not started</t>
        </is>
      </c>
      <c r="H21" s="16" t="n"/>
      <c r="I21" s="16" t="n"/>
      <c r="J21" s="16" t="n"/>
      <c r="K21" s="16" t="n"/>
      <c r="L21" s="18">
        <f>IF(N(H21)=0,"",J21/H21)</f>
        <v/>
      </c>
      <c r="M21" s="16" t="n"/>
      <c r="N21" s="16" t="n"/>
    </row>
    <row r="22">
      <c r="A22" s="16" t="n">
        <v>20</v>
      </c>
      <c r="B22" s="17" t="inlineStr">
        <is>
          <t>Day journal</t>
        </is>
      </c>
      <c r="C22" s="16" t="inlineStr">
        <is>
          <t>#/app/journal</t>
        </is>
      </c>
      <c r="D22" s="16" t="inlineStr">
        <is>
          <t>teacher, admin, schooladmin, parent</t>
        </is>
      </c>
      <c r="E22" s="16" t="inlineStr">
        <is>
          <t>Parent is read-only</t>
        </is>
      </c>
      <c r="F22" s="16" t="n"/>
      <c r="G22" s="16" t="inlineStr">
        <is>
          <t>Not started</t>
        </is>
      </c>
      <c r="H22" s="16" t="n"/>
      <c r="I22" s="16" t="n"/>
      <c r="J22" s="16" t="n"/>
      <c r="K22" s="16" t="n"/>
      <c r="L22" s="18">
        <f>IF(N(H22)=0,"",J22/H22)</f>
        <v/>
      </c>
      <c r="M22" s="16" t="n"/>
      <c r="N22" s="16" t="n"/>
    </row>
    <row r="23">
      <c r="A23" s="16" t="n">
        <v>21</v>
      </c>
      <c r="B23" s="17" t="inlineStr">
        <is>
          <t>Results</t>
        </is>
      </c>
      <c r="C23" s="16" t="inlineStr">
        <is>
          <t>#/app/results</t>
        </is>
      </c>
      <c r="D23" s="16" t="inlineStr">
        <is>
          <t>schooladmin, admin</t>
        </is>
      </c>
      <c r="E23" s="16" t="inlineStr"/>
      <c r="F23" s="16" t="n"/>
      <c r="G23" s="16" t="inlineStr">
        <is>
          <t>Not started</t>
        </is>
      </c>
      <c r="H23" s="16" t="n"/>
      <c r="I23" s="16" t="n"/>
      <c r="J23" s="16" t="n"/>
      <c r="K23" s="16" t="n"/>
      <c r="L23" s="18">
        <f>IF(N(H23)=0,"",J23/H23)</f>
        <v/>
      </c>
      <c r="M23" s="16" t="n"/>
      <c r="N23" s="16" t="n"/>
    </row>
    <row r="24">
      <c r="A24" s="16" t="n">
        <v>22</v>
      </c>
      <c r="B24" s="17" t="inlineStr">
        <is>
          <t>Timetable</t>
        </is>
      </c>
      <c r="C24" s="16" t="inlineStr">
        <is>
          <t>#/app/timetable</t>
        </is>
      </c>
      <c r="D24" s="16" t="inlineStr">
        <is>
          <t>schooladmin, admin, teacher, parent, supervisor</t>
        </is>
      </c>
      <c r="E24" s="16" t="inlineStr"/>
      <c r="F24" s="16" t="n"/>
      <c r="G24" s="16" t="inlineStr">
        <is>
          <t>Not started</t>
        </is>
      </c>
      <c r="H24" s="16" t="n"/>
      <c r="I24" s="16" t="n"/>
      <c r="J24" s="16" t="n"/>
      <c r="K24" s="16" t="n"/>
      <c r="L24" s="18">
        <f>IF(N(H24)=0,"",J24/H24)</f>
        <v/>
      </c>
      <c r="M24" s="16" t="n"/>
      <c r="N24" s="16" t="n"/>
    </row>
    <row r="25">
      <c r="A25" s="16" t="n">
        <v>23</v>
      </c>
      <c r="B25" s="17" t="inlineStr">
        <is>
          <t>Attendance</t>
        </is>
      </c>
      <c r="C25" s="16" t="inlineStr">
        <is>
          <t>#/app/attendance</t>
        </is>
      </c>
      <c r="D25" s="16" t="inlineStr">
        <is>
          <t>schooladmin, teacher, admin, supervisor</t>
        </is>
      </c>
      <c r="E25" s="16" t="inlineStr">
        <is>
          <t>Roll call + notify parent</t>
        </is>
      </c>
      <c r="F25" s="16" t="n"/>
      <c r="G25" s="16" t="inlineStr">
        <is>
          <t>Not started</t>
        </is>
      </c>
      <c r="H25" s="16" t="n"/>
      <c r="I25" s="16" t="n"/>
      <c r="J25" s="16" t="n"/>
      <c r="K25" s="16" t="n"/>
      <c r="L25" s="18">
        <f>IF(N(H25)=0,"",J25/H25)</f>
        <v/>
      </c>
      <c r="M25" s="16" t="n"/>
      <c r="N25" s="16" t="n"/>
    </row>
    <row r="26">
      <c r="A26" s="16" t="n">
        <v>24</v>
      </c>
      <c r="B26" s="17" t="inlineStr">
        <is>
          <t>Homework</t>
        </is>
      </c>
      <c r="C26" s="16" t="inlineStr">
        <is>
          <t>#/app/homework</t>
        </is>
      </c>
      <c r="D26" s="16" t="inlineStr">
        <is>
          <t>teacher, admin, parent</t>
        </is>
      </c>
      <c r="E26" s="16" t="inlineStr">
        <is>
          <t>FEATURE FLAG OFF by default</t>
        </is>
      </c>
      <c r="F26" s="16" t="n"/>
      <c r="G26" s="16" t="inlineStr">
        <is>
          <t>Not started</t>
        </is>
      </c>
      <c r="H26" s="16" t="n"/>
      <c r="I26" s="16" t="n"/>
      <c r="J26" s="16" t="n"/>
      <c r="K26" s="16" t="n"/>
      <c r="L26" s="18">
        <f>IF(N(H26)=0,"",J26/H26)</f>
        <v/>
      </c>
      <c r="M26" s="16" t="n"/>
      <c r="N26" s="16" t="n"/>
    </row>
    <row r="27">
      <c r="A27" s="16" t="n">
        <v>25</v>
      </c>
      <c r="B27" s="17" t="inlineStr">
        <is>
          <t>Exams</t>
        </is>
      </c>
      <c r="C27" s="16" t="inlineStr">
        <is>
          <t>#/app/exams</t>
        </is>
      </c>
      <c r="D27" s="16" t="inlineStr">
        <is>
          <t>schooladmin, admin, teacher, parent</t>
        </is>
      </c>
      <c r="E27" s="16" t="inlineStr">
        <is>
          <t>FEATURE FLAG OFF by default</t>
        </is>
      </c>
      <c r="F27" s="16" t="n"/>
      <c r="G27" s="16" t="inlineStr">
        <is>
          <t>Not started</t>
        </is>
      </c>
      <c r="H27" s="16" t="n"/>
      <c r="I27" s="16" t="n"/>
      <c r="J27" s="16" t="n"/>
      <c r="K27" s="16" t="n"/>
      <c r="L27" s="18">
        <f>IF(N(H27)=0,"",J27/H27)</f>
        <v/>
      </c>
      <c r="M27" s="16" t="n"/>
      <c r="N27" s="16" t="n"/>
    </row>
    <row r="28">
      <c r="A28" s="16" t="n">
        <v>26</v>
      </c>
      <c r="B28" s="17" t="inlineStr">
        <is>
          <t>Finance</t>
        </is>
      </c>
      <c r="C28" s="16" t="inlineStr">
        <is>
          <t>#/app/finance</t>
        </is>
      </c>
      <c r="D28" s="16" t="inlineStr">
        <is>
          <t>schooladmin, admin</t>
        </is>
      </c>
      <c r="E28" s="16" t="inlineStr"/>
      <c r="F28" s="16" t="n"/>
      <c r="G28" s="16" t="inlineStr">
        <is>
          <t>Not started</t>
        </is>
      </c>
      <c r="H28" s="16" t="n"/>
      <c r="I28" s="16" t="n"/>
      <c r="J28" s="16" t="n"/>
      <c r="K28" s="16" t="n"/>
      <c r="L28" s="18">
        <f>IF(N(H28)=0,"",J28/H28)</f>
        <v/>
      </c>
      <c r="M28" s="16" t="n"/>
      <c r="N28" s="16" t="n"/>
    </row>
    <row r="29">
      <c r="A29" s="16" t="n">
        <v>27</v>
      </c>
      <c r="B29" s="17" t="inlineStr">
        <is>
          <t>Payments</t>
        </is>
      </c>
      <c r="C29" s="16" t="inlineStr">
        <is>
          <t>#/app/payments</t>
        </is>
      </c>
      <c r="D29" s="16" t="inlineStr">
        <is>
          <t>parent</t>
        </is>
      </c>
      <c r="E29" s="16" t="inlineStr">
        <is>
          <t>Parent can never set status to Payé</t>
        </is>
      </c>
      <c r="F29" s="16" t="n"/>
      <c r="G29" s="16" t="inlineStr">
        <is>
          <t>Not started</t>
        </is>
      </c>
      <c r="H29" s="16" t="n"/>
      <c r="I29" s="16" t="n"/>
      <c r="J29" s="16" t="n"/>
      <c r="K29" s="16" t="n"/>
      <c r="L29" s="18">
        <f>IF(N(H29)=0,"",J29/H29)</f>
        <v/>
      </c>
      <c r="M29" s="16" t="n"/>
      <c r="N29" s="16" t="n"/>
    </row>
    <row r="30">
      <c r="A30" s="16" t="n">
        <v>28</v>
      </c>
      <c r="B30" s="17" t="inlineStr">
        <is>
          <t>Live tracking</t>
        </is>
      </c>
      <c r="C30" s="16" t="inlineStr">
        <is>
          <t>#/app/live</t>
        </is>
      </c>
      <c r="D30" s="16" t="inlineStr">
        <is>
          <t>parent</t>
        </is>
      </c>
      <c r="E30" s="16" t="inlineStr">
        <is>
          <t>Route map + time slider</t>
        </is>
      </c>
      <c r="F30" s="16" t="n"/>
      <c r="G30" s="16" t="inlineStr">
        <is>
          <t>Not started</t>
        </is>
      </c>
      <c r="H30" s="16" t="n"/>
      <c r="I30" s="16" t="n"/>
      <c r="J30" s="16" t="n"/>
      <c r="K30" s="16" t="n"/>
      <c r="L30" s="18">
        <f>IF(N(H30)=0,"",J30/H30)</f>
        <v/>
      </c>
      <c r="M30" s="16" t="n"/>
      <c r="N30" s="16" t="n"/>
    </row>
    <row r="31">
      <c r="A31" s="16" t="n">
        <v>29</v>
      </c>
      <c r="B31" s="17" t="inlineStr">
        <is>
          <t>Library</t>
        </is>
      </c>
      <c r="C31" s="16" t="inlineStr">
        <is>
          <t>#/app/library</t>
        </is>
      </c>
      <c r="D31" s="16" t="inlineStr">
        <is>
          <t>schooladmin, admin, teacher</t>
        </is>
      </c>
      <c r="E31" s="16" t="inlineStr">
        <is>
          <t>FEATURE FLAG OFF by default</t>
        </is>
      </c>
      <c r="F31" s="16" t="n"/>
      <c r="G31" s="16" t="inlineStr">
        <is>
          <t>Not started</t>
        </is>
      </c>
      <c r="H31" s="16" t="n"/>
      <c r="I31" s="16" t="n"/>
      <c r="J31" s="16" t="n"/>
      <c r="K31" s="16" t="n"/>
      <c r="L31" s="18">
        <f>IF(N(H31)=0,"",J31/H31)</f>
        <v/>
      </c>
      <c r="M31" s="16" t="n"/>
      <c r="N31" s="16" t="n"/>
    </row>
    <row r="32">
      <c r="A32" s="16" t="n">
        <v>30</v>
      </c>
      <c r="B32" s="17" t="inlineStr">
        <is>
          <t>Transport</t>
        </is>
      </c>
      <c r="C32" s="16" t="inlineStr">
        <is>
          <t>#/app/transport</t>
        </is>
      </c>
      <c r="D32" s="16" t="inlineStr">
        <is>
          <t>schooladmin, admin, parent</t>
        </is>
      </c>
      <c r="E32" s="16" t="inlineStr">
        <is>
          <t>FEATURE FLAG OFF by default</t>
        </is>
      </c>
      <c r="F32" s="16" t="n"/>
      <c r="G32" s="16" t="inlineStr">
        <is>
          <t>Not started</t>
        </is>
      </c>
      <c r="H32" s="16" t="n"/>
      <c r="I32" s="16" t="n"/>
      <c r="J32" s="16" t="n"/>
      <c r="K32" s="16" t="n"/>
      <c r="L32" s="18">
        <f>IF(N(H32)=0,"",J32/H32)</f>
        <v/>
      </c>
      <c r="M32" s="16" t="n"/>
      <c r="N32" s="16" t="n"/>
    </row>
    <row r="33">
      <c r="A33" s="16" t="n">
        <v>31</v>
      </c>
      <c r="B33" s="17" t="inlineStr">
        <is>
          <t>Events</t>
        </is>
      </c>
      <c r="C33" s="16" t="inlineStr">
        <is>
          <t>#/app/events</t>
        </is>
      </c>
      <c r="D33" s="16" t="inlineStr">
        <is>
          <t>6 roles</t>
        </is>
      </c>
      <c r="E33" s="16" t="inlineStr">
        <is>
          <t>Month calendar</t>
        </is>
      </c>
      <c r="F33" s="16" t="n"/>
      <c r="G33" s="16" t="inlineStr">
        <is>
          <t>Not started</t>
        </is>
      </c>
      <c r="H33" s="16" t="n"/>
      <c r="I33" s="16" t="n"/>
      <c r="J33" s="16" t="n"/>
      <c r="K33" s="16" t="n"/>
      <c r="L33" s="18">
        <f>IF(N(H33)=0,"",J33/H33)</f>
        <v/>
      </c>
      <c r="M33" s="16" t="n"/>
      <c r="N33" s="16" t="n"/>
    </row>
    <row r="34">
      <c r="A34" s="16" t="n">
        <v>32</v>
      </c>
      <c r="B34" s="17" t="inlineStr">
        <is>
          <t>Social</t>
        </is>
      </c>
      <c r="C34" s="16" t="inlineStr">
        <is>
          <t>#/app/social</t>
        </is>
      </c>
      <c r="D34" s="16" t="inlineStr">
        <is>
          <t>6 roles</t>
        </is>
      </c>
      <c r="E34" s="16" t="inlineStr">
        <is>
          <t>LARGEST PAGE — RSVP / quorum / approval state machine</t>
        </is>
      </c>
      <c r="F34" s="16" t="n"/>
      <c r="G34" s="16" t="inlineStr">
        <is>
          <t>Not started</t>
        </is>
      </c>
      <c r="H34" s="16" t="n"/>
      <c r="I34" s="16" t="n"/>
      <c r="J34" s="16" t="n"/>
      <c r="K34" s="16" t="n"/>
      <c r="L34" s="18">
        <f>IF(N(H34)=0,"",J34/H34)</f>
        <v/>
      </c>
      <c r="M34" s="16" t="n"/>
      <c r="N34" s="16" t="n"/>
    </row>
    <row r="35">
      <c r="A35" s="16" t="n">
        <v>33</v>
      </c>
      <c r="B35" s="17" t="inlineStr">
        <is>
          <t>Security</t>
        </is>
      </c>
      <c r="C35" s="16" t="inlineStr">
        <is>
          <t>#/app/security</t>
        </is>
      </c>
      <c r="D35" s="16" t="inlineStr">
        <is>
          <t>security, schooladmin, admin</t>
        </is>
      </c>
      <c r="E35" s="16" t="inlineStr">
        <is>
          <t>5 tabs</t>
        </is>
      </c>
      <c r="F35" s="16" t="n"/>
      <c r="G35" s="16" t="inlineStr">
        <is>
          <t>Not started</t>
        </is>
      </c>
      <c r="H35" s="16" t="n"/>
      <c r="I35" s="16" t="n"/>
      <c r="J35" s="16" t="n"/>
      <c r="K35" s="16" t="n"/>
      <c r="L35" s="18">
        <f>IF(N(H35)=0,"",J35/H35)</f>
        <v/>
      </c>
      <c r="M35" s="16" t="n"/>
      <c r="N35" s="16" t="n"/>
    </row>
    <row r="36">
      <c r="A36" s="16" t="n">
        <v>34</v>
      </c>
      <c r="B36" s="17" t="inlineStr">
        <is>
          <t>Incidents</t>
        </is>
      </c>
      <c r="C36" s="16" t="inlineStr">
        <is>
          <t>#/app/incidents</t>
        </is>
      </c>
      <c r="D36" s="16" t="inlineStr">
        <is>
          <t>supervisor, security, admin, schooladmin</t>
        </is>
      </c>
      <c r="E36" s="16" t="inlineStr"/>
      <c r="F36" s="16" t="n"/>
      <c r="G36" s="16" t="inlineStr">
        <is>
          <t>Not started</t>
        </is>
      </c>
      <c r="H36" s="16" t="n"/>
      <c r="I36" s="16" t="n"/>
      <c r="J36" s="16" t="n"/>
      <c r="K36" s="16" t="n"/>
      <c r="L36" s="18">
        <f>IF(N(H36)=0,"",J36/H36)</f>
        <v/>
      </c>
      <c r="M36" s="16" t="n"/>
      <c r="N36" s="16" t="n"/>
    </row>
    <row r="37">
      <c r="A37" s="16" t="n">
        <v>35</v>
      </c>
      <c r="B37" s="17" t="inlineStr">
        <is>
          <t>Accidents</t>
        </is>
      </c>
      <c r="C37" s="16" t="inlineStr">
        <is>
          <t>#/app/accidents</t>
        </is>
      </c>
      <c r="D37" s="16" t="inlineStr">
        <is>
          <t>teacher, supervisor, admin, schooladmin, parent</t>
        </is>
      </c>
      <c r="E37" s="16" t="inlineStr">
        <is>
          <t>Two-eyes rule</t>
        </is>
      </c>
      <c r="F37" s="16" t="n"/>
      <c r="G37" s="16" t="inlineStr">
        <is>
          <t>Not started</t>
        </is>
      </c>
      <c r="H37" s="16" t="n"/>
      <c r="I37" s="16" t="n"/>
      <c r="J37" s="16" t="n"/>
      <c r="K37" s="16" t="n"/>
      <c r="L37" s="18">
        <f>IF(N(H37)=0,"",J37/H37)</f>
        <v/>
      </c>
      <c r="M37" s="16" t="n"/>
      <c r="N37" s="16" t="n"/>
    </row>
    <row r="38">
      <c r="A38" s="16" t="n">
        <v>36</v>
      </c>
      <c r="B38" s="17" t="inlineStr">
        <is>
          <t>Behavior</t>
        </is>
      </c>
      <c r="C38" s="16" t="inlineStr">
        <is>
          <t>#/app/behavior</t>
        </is>
      </c>
      <c r="D38" s="16" t="inlineStr">
        <is>
          <t>teacher, admin, schooladmin, parent</t>
        </is>
      </c>
      <c r="E38" s="16" t="inlineStr">
        <is>
          <t>No ranking allowed</t>
        </is>
      </c>
      <c r="F38" s="16" t="n"/>
      <c r="G38" s="16" t="inlineStr">
        <is>
          <t>Not started</t>
        </is>
      </c>
      <c r="H38" s="16" t="n"/>
      <c r="I38" s="16" t="n"/>
      <c r="J38" s="16" t="n"/>
      <c r="K38" s="16" t="n"/>
      <c r="L38" s="18">
        <f>IF(N(H38)=0,"",J38/H38)</f>
        <v/>
      </c>
      <c r="M38" s="16" t="n"/>
      <c r="N38" s="16" t="n"/>
    </row>
    <row r="39">
      <c r="A39" s="16" t="n">
        <v>37</v>
      </c>
      <c r="B39" s="17" t="inlineStr">
        <is>
          <t>Gallery</t>
        </is>
      </c>
      <c r="C39" s="16" t="inlineStr">
        <is>
          <t>#/app/gallery</t>
        </is>
      </c>
      <c r="D39" s="16" t="inlineStr">
        <is>
          <t>teacher, admin, schooladmin, parent</t>
        </is>
      </c>
      <c r="E39" s="16" t="inlineStr">
        <is>
          <t>Photo privacy per parent</t>
        </is>
      </c>
      <c r="F39" s="16" t="n"/>
      <c r="G39" s="16" t="inlineStr">
        <is>
          <t>Not started</t>
        </is>
      </c>
      <c r="H39" s="16" t="n"/>
      <c r="I39" s="16" t="n"/>
      <c r="J39" s="16" t="n"/>
      <c r="K39" s="16" t="n"/>
      <c r="L39" s="18">
        <f>IF(N(H39)=0,"",J39/H39)</f>
        <v/>
      </c>
      <c r="M39" s="16" t="n"/>
      <c r="N39" s="16" t="n"/>
    </row>
    <row r="40">
      <c r="A40" s="16" t="n">
        <v>38</v>
      </c>
      <c r="B40" s="17" t="inlineStr">
        <is>
          <t>Canteen</t>
        </is>
      </c>
      <c r="C40" s="16" t="inlineStr">
        <is>
          <t>#/app/canteen</t>
        </is>
      </c>
      <c r="D40" s="16" t="inlineStr">
        <is>
          <t>teacher, admin, schooladmin, parent</t>
        </is>
      </c>
      <c r="E40" s="16" t="inlineStr">
        <is>
          <t>Allergen alerts</t>
        </is>
      </c>
      <c r="F40" s="16" t="n"/>
      <c r="G40" s="16" t="inlineStr">
        <is>
          <t>Not started</t>
        </is>
      </c>
      <c r="H40" s="16" t="n"/>
      <c r="I40" s="16" t="n"/>
      <c r="J40" s="16" t="n"/>
      <c r="K40" s="16" t="n"/>
      <c r="L40" s="18">
        <f>IF(N(H40)=0,"",J40/H40)</f>
        <v/>
      </c>
      <c r="M40" s="16" t="n"/>
      <c r="N40" s="16" t="n"/>
    </row>
    <row r="41">
      <c r="A41" s="16" t="n">
        <v>39</v>
      </c>
      <c r="B41" s="17" t="inlineStr">
        <is>
          <t>Documents</t>
        </is>
      </c>
      <c r="C41" s="16" t="inlineStr">
        <is>
          <t>#/app/documents</t>
        </is>
      </c>
      <c r="D41" s="16" t="inlineStr">
        <is>
          <t>admin, schooladmin</t>
        </is>
      </c>
      <c r="E41" s="16" t="inlineStr">
        <is>
          <t>Gapless numbering, append-only</t>
        </is>
      </c>
      <c r="F41" s="16" t="n"/>
      <c r="G41" s="16" t="inlineStr">
        <is>
          <t>Not started</t>
        </is>
      </c>
      <c r="H41" s="16" t="n"/>
      <c r="I41" s="16" t="n"/>
      <c r="J41" s="16" t="n"/>
      <c r="K41" s="16" t="n"/>
      <c r="L41" s="18">
        <f>IF(N(H41)=0,"",J41/H41)</f>
        <v/>
      </c>
      <c r="M41" s="16" t="n"/>
      <c r="N41" s="16" t="n"/>
    </row>
    <row r="42">
      <c r="A42" s="16" t="n">
        <v>40</v>
      </c>
      <c r="B42" s="17" t="inlineStr">
        <is>
          <t>Budget</t>
        </is>
      </c>
      <c r="C42" s="16" t="inlineStr">
        <is>
          <t>#/app/budget</t>
        </is>
      </c>
      <c r="D42" s="16" t="inlineStr">
        <is>
          <t>schooladmin, admin</t>
        </is>
      </c>
      <c r="E42" s="16" t="inlineStr"/>
      <c r="F42" s="16" t="n"/>
      <c r="G42" s="16" t="inlineStr">
        <is>
          <t>Not started</t>
        </is>
      </c>
      <c r="H42" s="16" t="n"/>
      <c r="I42" s="16" t="n"/>
      <c r="J42" s="16" t="n"/>
      <c r="K42" s="16" t="n"/>
      <c r="L42" s="18">
        <f>IF(N(H42)=0,"",J42/H42)</f>
        <v/>
      </c>
      <c r="M42" s="16" t="n"/>
      <c r="N42" s="16" t="n"/>
    </row>
    <row r="43">
      <c r="A43" s="16" t="n">
        <v>41</v>
      </c>
      <c r="B43" s="17" t="inlineStr">
        <is>
          <t>Inventory</t>
        </is>
      </c>
      <c r="C43" s="16" t="inlineStr">
        <is>
          <t>#/app/inventory</t>
        </is>
      </c>
      <c r="D43" s="16" t="inlineStr">
        <is>
          <t>schooladmin, admin</t>
        </is>
      </c>
      <c r="E43" s="16" t="inlineStr">
        <is>
          <t>Stock never below zero</t>
        </is>
      </c>
      <c r="F43" s="16" t="n"/>
      <c r="G43" s="16" t="inlineStr">
        <is>
          <t>Not started</t>
        </is>
      </c>
      <c r="H43" s="16" t="n"/>
      <c r="I43" s="16" t="n"/>
      <c r="J43" s="16" t="n"/>
      <c r="K43" s="16" t="n"/>
      <c r="L43" s="18">
        <f>IF(N(H43)=0,"",J43/H43)</f>
        <v/>
      </c>
      <c r="M43" s="16" t="n"/>
      <c r="N43" s="16" t="n"/>
    </row>
    <row r="44">
      <c r="A44" s="16" t="n">
        <v>42</v>
      </c>
      <c r="B44" s="17" t="inlineStr">
        <is>
          <t>Recruit</t>
        </is>
      </c>
      <c r="C44" s="16" t="inlineStr">
        <is>
          <t>#/app/recruit</t>
        </is>
      </c>
      <c r="D44" s="16" t="inlineStr">
        <is>
          <t>schooladmin, admin</t>
        </is>
      </c>
      <c r="E44" s="16" t="inlineStr">
        <is>
          <t>No stage skipping</t>
        </is>
      </c>
      <c r="F44" s="16" t="n"/>
      <c r="G44" s="16" t="inlineStr">
        <is>
          <t>Not started</t>
        </is>
      </c>
      <c r="H44" s="16" t="n"/>
      <c r="I44" s="16" t="n"/>
      <c r="J44" s="16" t="n"/>
      <c r="K44" s="16" t="n"/>
      <c r="L44" s="18">
        <f>IF(N(H44)=0,"",J44/H44)</f>
        <v/>
      </c>
      <c r="M44" s="16" t="n"/>
      <c r="N44" s="16" t="n"/>
    </row>
    <row r="45">
      <c r="A45" s="16" t="n">
        <v>43</v>
      </c>
      <c r="B45" s="17" t="inlineStr">
        <is>
          <t>Admissions</t>
        </is>
      </c>
      <c r="C45" s="16" t="inlineStr">
        <is>
          <t>#/app/admissions</t>
        </is>
      </c>
      <c r="D45" s="16" t="inlineStr">
        <is>
          <t>schooladmin, admin</t>
        </is>
      </c>
      <c r="E45" s="16" t="inlineStr">
        <is>
          <t>Capacity decides / waitlist</t>
        </is>
      </c>
      <c r="F45" s="16" t="n"/>
      <c r="G45" s="16" t="inlineStr">
        <is>
          <t>Not started</t>
        </is>
      </c>
      <c r="H45" s="16" t="n"/>
      <c r="I45" s="16" t="n"/>
      <c r="J45" s="16" t="n"/>
      <c r="K45" s="16" t="n"/>
      <c r="L45" s="18">
        <f>IF(N(H45)=0,"",J45/H45)</f>
        <v/>
      </c>
      <c r="M45" s="16" t="n"/>
      <c r="N45" s="16" t="n"/>
    </row>
    <row r="46">
      <c r="A46" s="16" t="n">
        <v>44</v>
      </c>
      <c r="B46" s="17" t="inlineStr">
        <is>
          <t>Interop (OneRoster)</t>
        </is>
      </c>
      <c r="C46" s="16" t="inlineStr">
        <is>
          <t>#/app/interop</t>
        </is>
      </c>
      <c r="D46" s="16" t="inlineStr">
        <is>
          <t>schooladmin, admin</t>
        </is>
      </c>
      <c r="E46" s="16" t="inlineStr">
        <is>
          <t>CSV v1.2 export</t>
        </is>
      </c>
      <c r="F46" s="16" t="n"/>
      <c r="G46" s="16" t="inlineStr">
        <is>
          <t>Not started</t>
        </is>
      </c>
      <c r="H46" s="16" t="n"/>
      <c r="I46" s="16" t="n"/>
      <c r="J46" s="16" t="n"/>
      <c r="K46" s="16" t="n"/>
      <c r="L46" s="18">
        <f>IF(N(H46)=0,"",J46/H46)</f>
        <v/>
      </c>
      <c r="M46" s="16" t="n"/>
      <c r="N46" s="16" t="n"/>
    </row>
    <row r="47">
      <c r="A47" s="16" t="n">
        <v>45</v>
      </c>
      <c r="B47" s="17" t="inlineStr">
        <is>
          <t>Requests</t>
        </is>
      </c>
      <c r="C47" s="16" t="inlineStr">
        <is>
          <t>#/app/requests</t>
        </is>
      </c>
      <c r="D47" s="16" t="inlineStr">
        <is>
          <t>teacher, admin, schooladmin</t>
        </is>
      </c>
      <c r="E47" s="16" t="inlineStr">
        <is>
          <t>12 types, 2-level approval</t>
        </is>
      </c>
      <c r="F47" s="16" t="n"/>
      <c r="G47" s="16" t="inlineStr">
        <is>
          <t>Not started</t>
        </is>
      </c>
      <c r="H47" s="16" t="n"/>
      <c r="I47" s="16" t="n"/>
      <c r="J47" s="16" t="n"/>
      <c r="K47" s="16" t="n"/>
      <c r="L47" s="18">
        <f>IF(N(H47)=0,"",J47/H47)</f>
        <v/>
      </c>
      <c r="M47" s="16" t="n"/>
      <c r="N47" s="16" t="n"/>
    </row>
    <row r="48">
      <c r="A48" s="16" t="n">
        <v>46</v>
      </c>
      <c r="B48" s="17" t="inlineStr">
        <is>
          <t>Messages</t>
        </is>
      </c>
      <c r="C48" s="16" t="inlineStr">
        <is>
          <t>#/app/messages</t>
        </is>
      </c>
      <c r="D48" s="16" t="inlineStr">
        <is>
          <t>all 7</t>
        </is>
      </c>
      <c r="E48" s="16" t="inlineStr"/>
      <c r="F48" s="16" t="n"/>
      <c r="G48" s="16" t="inlineStr">
        <is>
          <t>Not started</t>
        </is>
      </c>
      <c r="H48" s="16" t="n"/>
      <c r="I48" s="16" t="n"/>
      <c r="J48" s="16" t="n"/>
      <c r="K48" s="16" t="n"/>
      <c r="L48" s="18">
        <f>IF(N(H48)=0,"",J48/H48)</f>
        <v/>
      </c>
      <c r="M48" s="16" t="n"/>
      <c r="N48" s="16" t="n"/>
    </row>
    <row r="49">
      <c r="A49" s="16" t="n">
        <v>47</v>
      </c>
      <c r="B49" s="17" t="inlineStr">
        <is>
          <t>Notices</t>
        </is>
      </c>
      <c r="C49" s="16" t="inlineStr">
        <is>
          <t>#/app/notices</t>
        </is>
      </c>
      <c r="D49" s="16" t="inlineStr">
        <is>
          <t>all 7</t>
        </is>
      </c>
      <c r="E49" s="16" t="inlineStr"/>
      <c r="F49" s="16" t="n"/>
      <c r="G49" s="16" t="inlineStr">
        <is>
          <t>Not started</t>
        </is>
      </c>
      <c r="H49" s="16" t="n"/>
      <c r="I49" s="16" t="n"/>
      <c r="J49" s="16" t="n"/>
      <c r="K49" s="16" t="n"/>
      <c r="L49" s="18">
        <f>IF(N(H49)=0,"",J49/H49)</f>
        <v/>
      </c>
      <c r="M49" s="16" t="n"/>
      <c r="N49" s="16" t="n"/>
    </row>
    <row r="50">
      <c r="A50" s="16" t="n">
        <v>48</v>
      </c>
      <c r="B50" s="17" t="inlineStr">
        <is>
          <t>Notifications</t>
        </is>
      </c>
      <c r="C50" s="16" t="inlineStr">
        <is>
          <t>#/app/notifications</t>
        </is>
      </c>
      <c r="D50" s="16" t="inlineStr">
        <is>
          <t>all 7</t>
        </is>
      </c>
      <c r="E50" s="16" t="inlineStr"/>
      <c r="F50" s="16" t="n"/>
      <c r="G50" s="16" t="inlineStr">
        <is>
          <t>Not started</t>
        </is>
      </c>
      <c r="H50" s="16" t="n"/>
      <c r="I50" s="16" t="n"/>
      <c r="J50" s="16" t="n"/>
      <c r="K50" s="16" t="n"/>
      <c r="L50" s="18">
        <f>IF(N(H50)=0,"",J50/H50)</f>
        <v/>
      </c>
      <c r="M50" s="16" t="n"/>
      <c r="N50" s="16" t="n"/>
    </row>
    <row r="51">
      <c r="A51" s="16" t="n">
        <v>49</v>
      </c>
      <c r="B51" s="17" t="inlineStr">
        <is>
          <t>Cross-cutting: AppShell</t>
        </is>
      </c>
      <c r="C51" s="16" t="inlineStr">
        <is>
          <t>(every page)</t>
        </is>
      </c>
      <c r="D51" s="16" t="inlineStr">
        <is>
          <t>all 7</t>
        </is>
      </c>
      <c r="E51" s="16" t="inlineStr">
        <is>
          <t>Sidebar, Ctrl+K palette, bell, user menu, FR/AR</t>
        </is>
      </c>
      <c r="F51" s="16" t="n"/>
      <c r="G51" s="16" t="inlineStr">
        <is>
          <t>Not started</t>
        </is>
      </c>
      <c r="H51" s="16" t="n"/>
      <c r="I51" s="16" t="n"/>
      <c r="J51" s="16" t="n"/>
      <c r="K51" s="16" t="n"/>
      <c r="L51" s="18">
        <f>IF(N(H51)=0,"",J51/H51)</f>
        <v/>
      </c>
      <c r="M51" s="16" t="n"/>
      <c r="N51" s="16" t="n"/>
    </row>
    <row r="52">
      <c r="A52" s="16" t="n">
        <v>50</v>
      </c>
      <c r="B52" s="17" t="inlineStr">
        <is>
          <t>Cross-cutting: Arabic RTL</t>
        </is>
      </c>
      <c r="C52" s="16" t="inlineStr">
        <is>
          <t>(every page)</t>
        </is>
      </c>
      <c r="D52" s="16" t="inlineStr">
        <is>
          <t>all 7</t>
        </is>
      </c>
      <c r="E52" s="16" t="inlineStr">
        <is>
          <t>dir=rtl, Tajawal font, no clipped layout</t>
        </is>
      </c>
      <c r="F52" s="16" t="n"/>
      <c r="G52" s="16" t="inlineStr">
        <is>
          <t>Not started</t>
        </is>
      </c>
      <c r="H52" s="16" t="n"/>
      <c r="I52" s="16" t="n"/>
      <c r="J52" s="16" t="n"/>
      <c r="K52" s="16" t="n"/>
      <c r="L52" s="18">
        <f>IF(N(H52)=0,"",J52/H52)</f>
        <v/>
      </c>
      <c r="M52" s="16" t="n"/>
      <c r="N52" s="16" t="n"/>
    </row>
    <row r="53">
      <c r="A53" s="16" t="n">
        <v>51</v>
      </c>
      <c r="B53" s="17" t="inlineStr">
        <is>
          <t>Cross-cutting: Mobile 390px</t>
        </is>
      </c>
      <c r="C53" s="16" t="inlineStr">
        <is>
          <t>(every page)</t>
        </is>
      </c>
      <c r="D53" s="16" t="inlineStr">
        <is>
          <t>all 7</t>
        </is>
      </c>
      <c r="E53" s="16" t="inlineStr">
        <is>
          <t>No horizontal overflow</t>
        </is>
      </c>
      <c r="F53" s="16" t="n"/>
      <c r="G53" s="16" t="inlineStr">
        <is>
          <t>Not started</t>
        </is>
      </c>
      <c r="H53" s="16" t="n"/>
      <c r="I53" s="16" t="n"/>
      <c r="J53" s="16" t="n"/>
      <c r="K53" s="16" t="n"/>
      <c r="L53" s="18">
        <f>IF(N(H53)=0,"",J53/H53)</f>
        <v/>
      </c>
      <c r="M53" s="16" t="n"/>
      <c r="N53" s="16" t="n"/>
    </row>
  </sheetData>
  <autoFilter ref="A2:N2"/>
  <mergeCells count="1">
    <mergeCell ref="A1:N1"/>
  </mergeCells>
  <conditionalFormatting sqref="G3:G53">
    <cfRule type="cellIs" priority="1" operator="equal" dxfId="0">
      <formula>"Complete"</formula>
    </cfRule>
    <cfRule type="cellIs" priority="2" operator="equal" dxfId="1">
      <formula>"Blocked"</formula>
    </cfRule>
    <cfRule type="cellIs" priority="3" operator="equal" dxfId="2">
      <formula>"In progress"</formula>
    </cfRule>
    <cfRule type="cellIs" priority="4" operator="equal" dxfId="3">
      <formula>"Not started"</formula>
    </cfRule>
  </conditionalFormatting>
  <dataValidations count="1">
    <dataValidation sqref="G3:G53" showDropDown="0" showInputMessage="0" showErrorMessage="0" allowBlank="1" type="list">
      <formula1>=Lists!$L$2:$L$6</formula1>
    </dataValidation>
  </dataValidations>
  <pageMargins left="0.75" right="0.75" top="1" bottom="1" header="0.5" footer="0.5"/>
</worksheet>
</file>

<file path=xl/worksheets/sheet7.xml><?xml version="1.0" encoding="utf-8"?>
<worksheet xmlns="http://schemas.openxmlformats.org/spreadsheetml/2006/main">
  <sheetPr>
    <tabColor rgb="00C2410C"/>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15" customWidth="1" min="1" max="1"/>
    <col width="18" customWidth="1" min="2" max="2"/>
    <col width="26" customWidth="1" min="3" max="3"/>
    <col width="14" customWidth="1" min="4" max="4"/>
    <col width="56" customWidth="1" min="5" max="5"/>
    <col width="34" customWidth="1" min="6" max="6"/>
  </cols>
  <sheetData>
    <row r="1" ht="26" customHeight="1">
      <c r="A1" s="13" t="inlineStr">
        <is>
          <t>THE 7 DEMO ACCOUNTS — always test with these. Never invent accounts: results must be reproducible.</t>
        </is>
      </c>
    </row>
    <row r="2" ht="42" customHeight="1">
      <c r="A2" s="14" t="inlineStr">
        <is>
          <t>Role (code)</t>
        </is>
      </c>
      <c r="B2" s="14" t="inlineStr">
        <is>
          <t>Label in app</t>
        </is>
      </c>
      <c r="C2" s="14" t="inlineStr">
        <is>
          <t>Demo e-mail</t>
        </is>
      </c>
      <c r="D2" s="14" t="inlineStr">
        <is>
          <t>Password</t>
        </is>
      </c>
      <c r="E2" s="14" t="inlineStr">
        <is>
          <t>What to check with this role</t>
        </is>
      </c>
      <c r="F2" s="14" t="inlineStr">
        <is>
          <t>Notes</t>
        </is>
      </c>
    </row>
    <row r="3" ht="30" customHeight="1">
      <c r="A3" s="17" t="inlineStr">
        <is>
          <t>owner</t>
        </is>
      </c>
      <c r="B3" s="16" t="inlineStr">
        <is>
          <t>Plateforme</t>
        </is>
      </c>
      <c r="C3" s="16" t="inlineStr">
        <is>
          <t>owner@kogia.tn</t>
        </is>
      </c>
      <c r="D3" s="16" t="inlineStr">
        <is>
          <t>owner</t>
        </is>
      </c>
      <c r="E3" s="16" t="inlineStr">
        <is>
          <t>SaaS console: create a school, suspend it, reset demo data.</t>
        </is>
      </c>
      <c r="F3" s="16" t="inlineStr">
        <is>
          <t>Kogia Group level, above the school</t>
        </is>
      </c>
    </row>
    <row r="4" ht="30" customHeight="1">
      <c r="A4" s="17" t="inlineStr">
        <is>
          <t>schooladmin</t>
        </is>
      </c>
      <c r="B4" s="16" t="inlineStr">
        <is>
          <t>Direction</t>
        </is>
      </c>
      <c r="C4" s="16" t="inlineStr">
        <is>
          <t>direction@alnour.tn</t>
        </is>
      </c>
      <c r="D4" s="16" t="inlineStr">
        <is>
          <t>admin</t>
        </is>
      </c>
      <c r="E4" s="16" t="inlineStr">
        <is>
          <t>Everything. Settings, accounts, modules, finance, promotion.</t>
        </is>
      </c>
      <c r="F4" s="16" t="inlineStr">
        <is>
          <t>The last active Direction account cannot be disabled</t>
        </is>
      </c>
    </row>
    <row r="5" ht="30" customHeight="1">
      <c r="A5" s="17" t="inlineStr">
        <is>
          <t>admin</t>
        </is>
      </c>
      <c r="B5" s="16" t="inlineStr">
        <is>
          <t>Administration</t>
        </is>
      </c>
      <c r="C5" s="16" t="inlineStr">
        <is>
          <t>admin@alnour.tn</t>
        </is>
      </c>
      <c r="D5" s="16" t="inlineStr">
        <is>
          <t>office</t>
        </is>
      </c>
      <c r="E5" s="16" t="inlineStr">
        <is>
          <t>Office work: invoices, HR, admissions, documents.</t>
        </is>
      </c>
      <c r="F5" s="16" t="inlineStr">
        <is>
          <t>No access to Settings or Accounts</t>
        </is>
      </c>
    </row>
    <row r="6" ht="30" customHeight="1">
      <c r="A6" s="17" t="inlineStr">
        <is>
          <t>teacher</t>
        </is>
      </c>
      <c r="B6" s="16" t="inlineStr">
        <is>
          <t>Enseignant</t>
        </is>
      </c>
      <c r="C6" s="16" t="inlineStr">
        <is>
          <t>enseignant@alnour.tn</t>
        </is>
      </c>
      <c r="D6" s="16" t="inlineStr">
        <is>
          <t>teacher</t>
        </is>
      </c>
      <c r="E6" s="16" t="inlineStr">
        <is>
          <t>Evaluate, attendance, behavior, gallery, requests.</t>
        </is>
      </c>
      <c r="F6" s="16" t="inlineStr">
        <is>
          <t>Must NOT receive payroll or invoice data</t>
        </is>
      </c>
    </row>
    <row r="7" ht="30" customHeight="1">
      <c r="A7" s="17" t="inlineStr">
        <is>
          <t>teacher (crèche)</t>
        </is>
      </c>
      <c r="B7" s="16" t="inlineStr">
        <is>
          <t>Enseignant</t>
        </is>
      </c>
      <c r="C7" s="16" t="inlineStr">
        <is>
          <t>creche@alnour.tn</t>
        </is>
      </c>
      <c r="D7" s="16" t="inlineStr">
        <is>
          <t>teacher</t>
        </is>
      </c>
      <c r="E7" s="16" t="inlineStr">
        <is>
          <t>Day journal, meals, nap, diaper — early-years modules only.</t>
        </is>
      </c>
      <c r="F7" s="16" t="inlineStr">
        <is>
          <t>Level gating: must not see Timetable</t>
        </is>
      </c>
    </row>
    <row r="8" ht="30" customHeight="1">
      <c r="A8" s="17" t="inlineStr">
        <is>
          <t>supervisor</t>
        </is>
      </c>
      <c r="B8" s="16" t="inlineStr">
        <is>
          <t>Surveillant</t>
        </is>
      </c>
      <c r="C8" s="16" t="inlineStr">
        <is>
          <t>surveillant@alnour.tn</t>
        </is>
      </c>
      <c r="D8" s="16" t="inlineStr">
        <is>
          <t>super</t>
        </is>
      </c>
      <c r="E8" s="16" t="inlineStr">
        <is>
          <t>Incidents, attendance, accidents.</t>
        </is>
      </c>
      <c r="F8" s="16" t="inlineStr">
        <is>
          <t>Restricted read scope</t>
        </is>
      </c>
    </row>
    <row r="9" ht="30" customHeight="1">
      <c r="A9" s="17" t="inlineStr">
        <is>
          <t>security</t>
        </is>
      </c>
      <c r="B9" s="16" t="inlineStr">
        <is>
          <t>Sécurité</t>
        </is>
      </c>
      <c r="C9" s="16" t="inlineStr">
        <is>
          <t>securite@alnour.tn</t>
        </is>
      </c>
      <c r="D9" s="16" t="inlineStr">
        <is>
          <t>secu</t>
        </is>
      </c>
      <c r="E9" s="16" t="inlineStr">
        <is>
          <t>Visitors, rounds, log book, instructions.</t>
        </is>
      </c>
      <c r="F9" s="16" t="inlineStr">
        <is>
          <t>Must NOT see health, evaluations, behavior, photos</t>
        </is>
      </c>
    </row>
    <row r="10" ht="30" customHeight="1">
      <c r="A10" s="17" t="inlineStr">
        <is>
          <t>parent</t>
        </is>
      </c>
      <c r="B10" s="16" t="inlineStr">
        <is>
          <t>Parent</t>
        </is>
      </c>
      <c r="C10" s="16" t="inlineStr">
        <is>
          <t>parent@alnour.tn</t>
        </is>
      </c>
      <c r="D10" s="16" t="inlineStr">
        <is>
          <t>parent</t>
        </is>
      </c>
      <c r="E10" s="16" t="inlineStr">
        <is>
          <t>Own child only: journal, payments, live, gallery, accidents.</t>
        </is>
      </c>
      <c r="F10" s="16" t="inlineStr">
        <is>
          <t>p1 has TWO children — use it to test the child selector</t>
        </is>
      </c>
    </row>
    <row r="11" ht="30" customHeight="1">
      <c r="A11" s="17" t="inlineStr">
        <is>
          <t>parent 2-5</t>
        </is>
      </c>
      <c r="B11" s="16" t="inlineStr">
        <is>
          <t>Parent</t>
        </is>
      </c>
      <c r="C11" s="16" t="inlineStr">
        <is>
          <t>parent2..5@alnour.tn</t>
        </is>
      </c>
      <c r="D11" s="16" t="inlineStr">
        <is>
          <t>parent</t>
        </is>
      </c>
      <c r="E11" s="16" t="inlineStr">
        <is>
          <t>Privacy: must never see another family's child.</t>
        </is>
      </c>
      <c r="F11" s="16" t="inlineStr">
        <is>
          <t>Use to prove data isolation</t>
        </is>
      </c>
    </row>
  </sheetData>
  <autoFilter ref="A2:F2"/>
  <mergeCells count="1">
    <mergeCell ref="A1:F1"/>
  </mergeCells>
  <pageMargins left="0.75" right="0.75" top="1" bottom="1" header="0.5" footer="0.5"/>
</worksheet>
</file>

<file path=xl/worksheets/sheet8.xml><?xml version="1.0" encoding="utf-8"?>
<worksheet xmlns="http://schemas.openxmlformats.org/spreadsheetml/2006/main">
  <sheetPr>
    <tabColor rgb="004361D0"/>
    <outlinePr summaryBelow="1" summaryRight="1"/>
    <pageSetUpPr/>
  </sheetPr>
  <dimension ref="A1:Q60"/>
  <sheetViews>
    <sheetView workbookViewId="0">
      <pane ySplit="2" topLeftCell="A3" activePane="bottomLeft" state="frozen"/>
      <selection pane="bottomLeft" activeCell="A1" sqref="A1"/>
    </sheetView>
  </sheetViews>
  <sheetFormatPr baseColWidth="8" defaultRowHeight="15"/>
  <cols>
    <col width="8" customWidth="1" min="1" max="1"/>
    <col width="22" customWidth="1" min="2" max="2"/>
    <col width="15" customWidth="1" min="3" max="3"/>
    <col width="11" customWidth="1" min="4" max="4"/>
    <col width="11" customWidth="1" min="5" max="5"/>
    <col width="14" customWidth="1" min="6" max="6"/>
    <col width="40" customWidth="1" min="7" max="7"/>
    <col width="10" customWidth="1" min="8" max="8"/>
    <col width="9" customWidth="1" min="9" max="9"/>
    <col width="8" customWidth="1" min="10" max="10"/>
    <col width="9" customWidth="1" min="11" max="11"/>
    <col width="10" customWidth="1" min="12" max="12"/>
    <col width="12" customWidth="1" min="13" max="13"/>
    <col width="11" customWidth="1" min="14" max="14"/>
    <col width="16" customWidth="1" min="15" max="15"/>
    <col width="13" customWidth="1" min="16" max="16"/>
    <col width="34" customWidth="1" min="17" max="17"/>
  </cols>
  <sheetData>
    <row r="1" ht="26" customHeight="1">
      <c r="A1" s="13" t="inlineStr">
        <is>
          <t>TEST CYCLES — one row per round of testing. The Go / No-Go decision is recorded here, with its evidence.</t>
        </is>
      </c>
    </row>
    <row r="2" ht="42" customHeight="1">
      <c r="A2" s="14" t="inlineStr">
        <is>
          <t>Cycle #</t>
        </is>
      </c>
      <c r="B2" s="14" t="inlineStr">
        <is>
          <t>Name / release</t>
        </is>
      </c>
      <c r="C2" s="14" t="inlineStr">
        <is>
          <t>Build / Commit</t>
        </is>
      </c>
      <c r="D2" s="14" t="inlineStr">
        <is>
          <t>Start date</t>
        </is>
      </c>
      <c r="E2" s="14" t="inlineStr">
        <is>
          <t>End date</t>
        </is>
      </c>
      <c r="F2" s="14" t="inlineStr">
        <is>
          <t>Tester(s)</t>
        </is>
      </c>
      <c r="G2" s="14" t="inlineStr">
        <is>
          <t>Scope tested</t>
        </is>
      </c>
      <c r="H2" s="14" t="inlineStr">
        <is>
          <t>Cases run</t>
        </is>
      </c>
      <c r="I2" s="14" t="inlineStr">
        <is>
          <t>Passed</t>
        </is>
      </c>
      <c r="J2" s="14" t="inlineStr">
        <is>
          <t>Failed</t>
        </is>
      </c>
      <c r="K2" s="14" t="inlineStr">
        <is>
          <t>Blocked</t>
        </is>
      </c>
      <c r="L2" s="14" t="inlineStr">
        <is>
          <t>Pass rate</t>
        </is>
      </c>
      <c r="M2" s="14" t="inlineStr">
        <is>
          <t>Open Critical</t>
        </is>
      </c>
      <c r="N2" s="14" t="inlineStr">
        <is>
          <t>Open Major</t>
        </is>
      </c>
      <c r="O2" s="14" t="inlineStr">
        <is>
          <t>Go / No-Go</t>
        </is>
      </c>
      <c r="P2" s="14" t="inlineStr">
        <is>
          <t>Decided by</t>
        </is>
      </c>
      <c r="Q2" s="14" t="inlineStr">
        <is>
          <t>Notes</t>
        </is>
      </c>
    </row>
    <row r="3" ht="64" customHeight="1">
      <c r="A3" s="16" t="n">
        <v>1</v>
      </c>
      <c r="B3" s="16" t="inlineStr">
        <is>
          <t>Recette QA initiale</t>
        </is>
      </c>
      <c r="C3" s="16" t="inlineStr">
        <is>
          <t>42601e8</t>
        </is>
      </c>
      <c r="D3" s="16" t="inlineStr">
        <is>
          <t>2026-07-22</t>
        </is>
      </c>
      <c r="E3" s="16" t="inlineStr">
        <is>
          <t>2026-07-22</t>
        </is>
      </c>
      <c r="F3" s="16" t="inlineStr">
        <is>
          <t>Othman + Claude</t>
        </is>
      </c>
      <c r="G3" s="16" t="inlineStr">
        <is>
          <t>Pages publiques (accueil, connexion, pré-inscription) × 6 tailles ; tableaux de bord × 7 rôles ; parcours mot de passe oublié ; suites automatisées complètes.</t>
        </is>
      </c>
      <c r="H3" s="16" t="n">
        <v>26</v>
      </c>
      <c r="I3" s="16" t="n">
        <v>22</v>
      </c>
      <c r="J3" s="16" t="n">
        <v>4</v>
      </c>
      <c r="K3" s="16" t="n">
        <v>0</v>
      </c>
      <c r="L3" s="18">
        <f>IF(N(H3)=0,"",I3/H3)</f>
        <v/>
      </c>
      <c r="M3" s="16" t="n">
        <v>0</v>
      </c>
      <c r="N3" s="16" t="n">
        <v>0</v>
      </c>
      <c r="O3" s="21" t="inlineStr">
        <is>
          <t>GO</t>
        </is>
      </c>
      <c r="P3" s="16" t="inlineStr">
        <is>
          <t>Othman</t>
        </is>
      </c>
      <c r="Q3" s="16" t="inlineStr">
        <is>
          <t>4 défauts trouvés et corrigés le jour même. 3 demandes livrées. core 54/54 · serveur 15/15 · e2e 131/131 · CI verte · vérifié sur le site réel.</t>
        </is>
      </c>
    </row>
    <row r="4">
      <c r="A4" s="16" t="n"/>
      <c r="B4" s="16" t="n"/>
      <c r="C4" s="16" t="n"/>
      <c r="D4" s="16" t="n"/>
      <c r="E4" s="16" t="n"/>
      <c r="F4" s="16" t="n"/>
      <c r="G4" s="16" t="n"/>
      <c r="H4" s="16" t="n"/>
      <c r="I4" s="16" t="n"/>
      <c r="J4" s="16" t="n"/>
      <c r="K4" s="16" t="n"/>
      <c r="L4" s="18">
        <f>IF(N(H4)=0,"",I4/H4)</f>
        <v/>
      </c>
      <c r="M4" s="16" t="n"/>
      <c r="N4" s="16" t="n"/>
      <c r="O4" s="16" t="n"/>
      <c r="P4" s="16" t="n"/>
      <c r="Q4" s="16" t="n"/>
    </row>
    <row r="5">
      <c r="A5" s="16" t="n"/>
      <c r="B5" s="16" t="n"/>
      <c r="C5" s="16" t="n"/>
      <c r="D5" s="16" t="n"/>
      <c r="E5" s="16" t="n"/>
      <c r="F5" s="16" t="n"/>
      <c r="G5" s="16" t="n"/>
      <c r="H5" s="16" t="n"/>
      <c r="I5" s="16" t="n"/>
      <c r="J5" s="16" t="n"/>
      <c r="K5" s="16" t="n"/>
      <c r="L5" s="18">
        <f>IF(N(H5)=0,"",I5/H5)</f>
        <v/>
      </c>
      <c r="M5" s="16" t="n"/>
      <c r="N5" s="16" t="n"/>
      <c r="O5" s="16" t="n"/>
      <c r="P5" s="16" t="n"/>
      <c r="Q5" s="16" t="n"/>
    </row>
    <row r="6">
      <c r="A6" s="16" t="n"/>
      <c r="B6" s="16" t="n"/>
      <c r="C6" s="16" t="n"/>
      <c r="D6" s="16" t="n"/>
      <c r="E6" s="16" t="n"/>
      <c r="F6" s="16" t="n"/>
      <c r="G6" s="16" t="n"/>
      <c r="H6" s="16" t="n"/>
      <c r="I6" s="16" t="n"/>
      <c r="J6" s="16" t="n"/>
      <c r="K6" s="16" t="n"/>
      <c r="L6" s="18">
        <f>IF(N(H6)=0,"",I6/H6)</f>
        <v/>
      </c>
      <c r="M6" s="16" t="n"/>
      <c r="N6" s="16" t="n"/>
      <c r="O6" s="16" t="n"/>
      <c r="P6" s="16" t="n"/>
      <c r="Q6" s="16" t="n"/>
    </row>
    <row r="7">
      <c r="A7" s="16" t="n"/>
      <c r="B7" s="16" t="n"/>
      <c r="C7" s="16" t="n"/>
      <c r="D7" s="16" t="n"/>
      <c r="E7" s="16" t="n"/>
      <c r="F7" s="16" t="n"/>
      <c r="G7" s="16" t="n"/>
      <c r="H7" s="16" t="n"/>
      <c r="I7" s="16" t="n"/>
      <c r="J7" s="16" t="n"/>
      <c r="K7" s="16" t="n"/>
      <c r="L7" s="18">
        <f>IF(N(H7)=0,"",I7/H7)</f>
        <v/>
      </c>
      <c r="M7" s="16" t="n"/>
      <c r="N7" s="16" t="n"/>
      <c r="O7" s="16" t="n"/>
      <c r="P7" s="16" t="n"/>
      <c r="Q7" s="16" t="n"/>
    </row>
    <row r="8">
      <c r="A8" s="16" t="n"/>
      <c r="B8" s="16" t="n"/>
      <c r="C8" s="16" t="n"/>
      <c r="D8" s="16" t="n"/>
      <c r="E8" s="16" t="n"/>
      <c r="F8" s="16" t="n"/>
      <c r="G8" s="16" t="n"/>
      <c r="H8" s="16" t="n"/>
      <c r="I8" s="16" t="n"/>
      <c r="J8" s="16" t="n"/>
      <c r="K8" s="16" t="n"/>
      <c r="L8" s="18">
        <f>IF(N(H8)=0,"",I8/H8)</f>
        <v/>
      </c>
      <c r="M8" s="16" t="n"/>
      <c r="N8" s="16" t="n"/>
      <c r="O8" s="16" t="n"/>
      <c r="P8" s="16" t="n"/>
      <c r="Q8" s="16" t="n"/>
    </row>
    <row r="9">
      <c r="A9" s="16" t="n"/>
      <c r="B9" s="16" t="n"/>
      <c r="C9" s="16" t="n"/>
      <c r="D9" s="16" t="n"/>
      <c r="E9" s="16" t="n"/>
      <c r="F9" s="16" t="n"/>
      <c r="G9" s="16" t="n"/>
      <c r="H9" s="16" t="n"/>
      <c r="I9" s="16" t="n"/>
      <c r="J9" s="16" t="n"/>
      <c r="K9" s="16" t="n"/>
      <c r="L9" s="18">
        <f>IF(N(H9)=0,"",I9/H9)</f>
        <v/>
      </c>
      <c r="M9" s="16" t="n"/>
      <c r="N9" s="16" t="n"/>
      <c r="O9" s="16" t="n"/>
      <c r="P9" s="16" t="n"/>
      <c r="Q9" s="16" t="n"/>
    </row>
    <row r="10">
      <c r="A10" s="16" t="n"/>
      <c r="B10" s="16" t="n"/>
      <c r="C10" s="16" t="n"/>
      <c r="D10" s="16" t="n"/>
      <c r="E10" s="16" t="n"/>
      <c r="F10" s="16" t="n"/>
      <c r="G10" s="16" t="n"/>
      <c r="H10" s="16" t="n"/>
      <c r="I10" s="16" t="n"/>
      <c r="J10" s="16" t="n"/>
      <c r="K10" s="16" t="n"/>
      <c r="L10" s="18">
        <f>IF(N(H10)=0,"",I10/H10)</f>
        <v/>
      </c>
      <c r="M10" s="16" t="n"/>
      <c r="N10" s="16" t="n"/>
      <c r="O10" s="16" t="n"/>
      <c r="P10" s="16" t="n"/>
      <c r="Q10" s="16" t="n"/>
    </row>
    <row r="11">
      <c r="A11" s="16" t="n"/>
      <c r="B11" s="16" t="n"/>
      <c r="C11" s="16" t="n"/>
      <c r="D11" s="16" t="n"/>
      <c r="E11" s="16" t="n"/>
      <c r="F11" s="16" t="n"/>
      <c r="G11" s="16" t="n"/>
      <c r="H11" s="16" t="n"/>
      <c r="I11" s="16" t="n"/>
      <c r="J11" s="16" t="n"/>
      <c r="K11" s="16" t="n"/>
      <c r="L11" s="18">
        <f>IF(N(H11)=0,"",I11/H11)</f>
        <v/>
      </c>
      <c r="M11" s="16" t="n"/>
      <c r="N11" s="16" t="n"/>
      <c r="O11" s="16" t="n"/>
      <c r="P11" s="16" t="n"/>
      <c r="Q11" s="16" t="n"/>
    </row>
    <row r="12">
      <c r="A12" s="16" t="n"/>
      <c r="B12" s="16" t="n"/>
      <c r="C12" s="16" t="n"/>
      <c r="D12" s="16" t="n"/>
      <c r="E12" s="16" t="n"/>
      <c r="F12" s="16" t="n"/>
      <c r="G12" s="16" t="n"/>
      <c r="H12" s="16" t="n"/>
      <c r="I12" s="16" t="n"/>
      <c r="J12" s="16" t="n"/>
      <c r="K12" s="16" t="n"/>
      <c r="L12" s="18">
        <f>IF(N(H12)=0,"",I12/H12)</f>
        <v/>
      </c>
      <c r="M12" s="16" t="n"/>
      <c r="N12" s="16" t="n"/>
      <c r="O12" s="16" t="n"/>
      <c r="P12" s="16" t="n"/>
      <c r="Q12" s="16" t="n"/>
    </row>
    <row r="13">
      <c r="A13" s="16" t="n"/>
      <c r="B13" s="16" t="n"/>
      <c r="C13" s="16" t="n"/>
      <c r="D13" s="16" t="n"/>
      <c r="E13" s="16" t="n"/>
      <c r="F13" s="16" t="n"/>
      <c r="G13" s="16" t="n"/>
      <c r="H13" s="16" t="n"/>
      <c r="I13" s="16" t="n"/>
      <c r="J13" s="16" t="n"/>
      <c r="K13" s="16" t="n"/>
      <c r="L13" s="18">
        <f>IF(N(H13)=0,"",I13/H13)</f>
        <v/>
      </c>
      <c r="M13" s="16" t="n"/>
      <c r="N13" s="16" t="n"/>
      <c r="O13" s="16" t="n"/>
      <c r="P13" s="16" t="n"/>
      <c r="Q13" s="16" t="n"/>
    </row>
    <row r="14">
      <c r="A14" s="16" t="n"/>
      <c r="B14" s="16" t="n"/>
      <c r="C14" s="16" t="n"/>
      <c r="D14" s="16" t="n"/>
      <c r="E14" s="16" t="n"/>
      <c r="F14" s="16" t="n"/>
      <c r="G14" s="16" t="n"/>
      <c r="H14" s="16" t="n"/>
      <c r="I14" s="16" t="n"/>
      <c r="J14" s="16" t="n"/>
      <c r="K14" s="16" t="n"/>
      <c r="L14" s="18">
        <f>IF(N(H14)=0,"",I14/H14)</f>
        <v/>
      </c>
      <c r="M14" s="16" t="n"/>
      <c r="N14" s="16" t="n"/>
      <c r="O14" s="16" t="n"/>
      <c r="P14" s="16" t="n"/>
      <c r="Q14" s="16" t="n"/>
    </row>
    <row r="15">
      <c r="A15" s="16" t="n"/>
      <c r="B15" s="16" t="n"/>
      <c r="C15" s="16" t="n"/>
      <c r="D15" s="16" t="n"/>
      <c r="E15" s="16" t="n"/>
      <c r="F15" s="16" t="n"/>
      <c r="G15" s="16" t="n"/>
      <c r="H15" s="16" t="n"/>
      <c r="I15" s="16" t="n"/>
      <c r="J15" s="16" t="n"/>
      <c r="K15" s="16" t="n"/>
      <c r="L15" s="18">
        <f>IF(N(H15)=0,"",I15/H15)</f>
        <v/>
      </c>
      <c r="M15" s="16" t="n"/>
      <c r="N15" s="16" t="n"/>
      <c r="O15" s="16" t="n"/>
      <c r="P15" s="16" t="n"/>
      <c r="Q15" s="16" t="n"/>
    </row>
    <row r="16">
      <c r="A16" s="16" t="n"/>
      <c r="B16" s="16" t="n"/>
      <c r="C16" s="16" t="n"/>
      <c r="D16" s="16" t="n"/>
      <c r="E16" s="16" t="n"/>
      <c r="F16" s="16" t="n"/>
      <c r="G16" s="16" t="n"/>
      <c r="H16" s="16" t="n"/>
      <c r="I16" s="16" t="n"/>
      <c r="J16" s="16" t="n"/>
      <c r="K16" s="16" t="n"/>
      <c r="L16" s="18">
        <f>IF(N(H16)=0,"",I16/H16)</f>
        <v/>
      </c>
      <c r="M16" s="16" t="n"/>
      <c r="N16" s="16" t="n"/>
      <c r="O16" s="16" t="n"/>
      <c r="P16" s="16" t="n"/>
      <c r="Q16" s="16" t="n"/>
    </row>
    <row r="17">
      <c r="A17" s="16" t="n"/>
      <c r="B17" s="16" t="n"/>
      <c r="C17" s="16" t="n"/>
      <c r="D17" s="16" t="n"/>
      <c r="E17" s="16" t="n"/>
      <c r="F17" s="16" t="n"/>
      <c r="G17" s="16" t="n"/>
      <c r="H17" s="16" t="n"/>
      <c r="I17" s="16" t="n"/>
      <c r="J17" s="16" t="n"/>
      <c r="K17" s="16" t="n"/>
      <c r="L17" s="18">
        <f>IF(N(H17)=0,"",I17/H17)</f>
        <v/>
      </c>
      <c r="M17" s="16" t="n"/>
      <c r="N17" s="16" t="n"/>
      <c r="O17" s="16" t="n"/>
      <c r="P17" s="16" t="n"/>
      <c r="Q17" s="16" t="n"/>
    </row>
    <row r="18">
      <c r="A18" s="16" t="n"/>
      <c r="B18" s="16" t="n"/>
      <c r="C18" s="16" t="n"/>
      <c r="D18" s="16" t="n"/>
      <c r="E18" s="16" t="n"/>
      <c r="F18" s="16" t="n"/>
      <c r="G18" s="16" t="n"/>
      <c r="H18" s="16" t="n"/>
      <c r="I18" s="16" t="n"/>
      <c r="J18" s="16" t="n"/>
      <c r="K18" s="16" t="n"/>
      <c r="L18" s="18">
        <f>IF(N(H18)=0,"",I18/H18)</f>
        <v/>
      </c>
      <c r="M18" s="16" t="n"/>
      <c r="N18" s="16" t="n"/>
      <c r="O18" s="16" t="n"/>
      <c r="P18" s="16" t="n"/>
      <c r="Q18" s="16" t="n"/>
    </row>
    <row r="19">
      <c r="A19" s="16" t="n"/>
      <c r="B19" s="16" t="n"/>
      <c r="C19" s="16" t="n"/>
      <c r="D19" s="16" t="n"/>
      <c r="E19" s="16" t="n"/>
      <c r="F19" s="16" t="n"/>
      <c r="G19" s="16" t="n"/>
      <c r="H19" s="16" t="n"/>
      <c r="I19" s="16" t="n"/>
      <c r="J19" s="16" t="n"/>
      <c r="K19" s="16" t="n"/>
      <c r="L19" s="18">
        <f>IF(N(H19)=0,"",I19/H19)</f>
        <v/>
      </c>
      <c r="M19" s="16" t="n"/>
      <c r="N19" s="16" t="n"/>
      <c r="O19" s="16" t="n"/>
      <c r="P19" s="16" t="n"/>
      <c r="Q19" s="16" t="n"/>
    </row>
    <row r="20">
      <c r="A20" s="16" t="n"/>
      <c r="B20" s="16" t="n"/>
      <c r="C20" s="16" t="n"/>
      <c r="D20" s="16" t="n"/>
      <c r="E20" s="16" t="n"/>
      <c r="F20" s="16" t="n"/>
      <c r="G20" s="16" t="n"/>
      <c r="H20" s="16" t="n"/>
      <c r="I20" s="16" t="n"/>
      <c r="J20" s="16" t="n"/>
      <c r="K20" s="16" t="n"/>
      <c r="L20" s="18">
        <f>IF(N(H20)=0,"",I20/H20)</f>
        <v/>
      </c>
      <c r="M20" s="16" t="n"/>
      <c r="N20" s="16" t="n"/>
      <c r="O20" s="16" t="n"/>
      <c r="P20" s="16" t="n"/>
      <c r="Q20" s="16" t="n"/>
    </row>
    <row r="21">
      <c r="A21" s="16" t="n"/>
      <c r="B21" s="16" t="n"/>
      <c r="C21" s="16" t="n"/>
      <c r="D21" s="16" t="n"/>
      <c r="E21" s="16" t="n"/>
      <c r="F21" s="16" t="n"/>
      <c r="G21" s="16" t="n"/>
      <c r="H21" s="16" t="n"/>
      <c r="I21" s="16" t="n"/>
      <c r="J21" s="16" t="n"/>
      <c r="K21" s="16" t="n"/>
      <c r="L21" s="18">
        <f>IF(N(H21)=0,"",I21/H21)</f>
        <v/>
      </c>
      <c r="M21" s="16" t="n"/>
      <c r="N21" s="16" t="n"/>
      <c r="O21" s="16" t="n"/>
      <c r="P21" s="16" t="n"/>
      <c r="Q21" s="16" t="n"/>
    </row>
    <row r="22">
      <c r="A22" s="16" t="n"/>
      <c r="B22" s="16" t="n"/>
      <c r="C22" s="16" t="n"/>
      <c r="D22" s="16" t="n"/>
      <c r="E22" s="16" t="n"/>
      <c r="F22" s="16" t="n"/>
      <c r="G22" s="16" t="n"/>
      <c r="H22" s="16" t="n"/>
      <c r="I22" s="16" t="n"/>
      <c r="J22" s="16" t="n"/>
      <c r="K22" s="16" t="n"/>
      <c r="L22" s="18">
        <f>IF(N(H22)=0,"",I22/H22)</f>
        <v/>
      </c>
      <c r="M22" s="16" t="n"/>
      <c r="N22" s="16" t="n"/>
      <c r="O22" s="16" t="n"/>
      <c r="P22" s="16" t="n"/>
      <c r="Q22" s="16" t="n"/>
    </row>
    <row r="23">
      <c r="A23" s="16" t="n"/>
      <c r="B23" s="16" t="n"/>
      <c r="C23" s="16" t="n"/>
      <c r="D23" s="16" t="n"/>
      <c r="E23" s="16" t="n"/>
      <c r="F23" s="16" t="n"/>
      <c r="G23" s="16" t="n"/>
      <c r="H23" s="16" t="n"/>
      <c r="I23" s="16" t="n"/>
      <c r="J23" s="16" t="n"/>
      <c r="K23" s="16" t="n"/>
      <c r="L23" s="18">
        <f>IF(N(H23)=0,"",I23/H23)</f>
        <v/>
      </c>
      <c r="M23" s="16" t="n"/>
      <c r="N23" s="16" t="n"/>
      <c r="O23" s="16" t="n"/>
      <c r="P23" s="16" t="n"/>
      <c r="Q23" s="16" t="n"/>
    </row>
    <row r="24">
      <c r="A24" s="16" t="n"/>
      <c r="B24" s="16" t="n"/>
      <c r="C24" s="16" t="n"/>
      <c r="D24" s="16" t="n"/>
      <c r="E24" s="16" t="n"/>
      <c r="F24" s="16" t="n"/>
      <c r="G24" s="16" t="n"/>
      <c r="H24" s="16" t="n"/>
      <c r="I24" s="16" t="n"/>
      <c r="J24" s="16" t="n"/>
      <c r="K24" s="16" t="n"/>
      <c r="L24" s="18">
        <f>IF(N(H24)=0,"",I24/H24)</f>
        <v/>
      </c>
      <c r="M24" s="16" t="n"/>
      <c r="N24" s="16" t="n"/>
      <c r="O24" s="16" t="n"/>
      <c r="P24" s="16" t="n"/>
      <c r="Q24" s="16" t="n"/>
    </row>
    <row r="25">
      <c r="A25" s="16" t="n"/>
      <c r="B25" s="16" t="n"/>
      <c r="C25" s="16" t="n"/>
      <c r="D25" s="16" t="n"/>
      <c r="E25" s="16" t="n"/>
      <c r="F25" s="16" t="n"/>
      <c r="G25" s="16" t="n"/>
      <c r="H25" s="16" t="n"/>
      <c r="I25" s="16" t="n"/>
      <c r="J25" s="16" t="n"/>
      <c r="K25" s="16" t="n"/>
      <c r="L25" s="18">
        <f>IF(N(H25)=0,"",I25/H25)</f>
        <v/>
      </c>
      <c r="M25" s="16" t="n"/>
      <c r="N25" s="16" t="n"/>
      <c r="O25" s="16" t="n"/>
      <c r="P25" s="16" t="n"/>
      <c r="Q25" s="16" t="n"/>
    </row>
    <row r="26">
      <c r="A26" s="16" t="n"/>
      <c r="B26" s="16" t="n"/>
      <c r="C26" s="16" t="n"/>
      <c r="D26" s="16" t="n"/>
      <c r="E26" s="16" t="n"/>
      <c r="F26" s="16" t="n"/>
      <c r="G26" s="16" t="n"/>
      <c r="H26" s="16" t="n"/>
      <c r="I26" s="16" t="n"/>
      <c r="J26" s="16" t="n"/>
      <c r="K26" s="16" t="n"/>
      <c r="L26" s="18">
        <f>IF(N(H26)=0,"",I26/H26)</f>
        <v/>
      </c>
      <c r="M26" s="16" t="n"/>
      <c r="N26" s="16" t="n"/>
      <c r="O26" s="16" t="n"/>
      <c r="P26" s="16" t="n"/>
      <c r="Q26" s="16" t="n"/>
    </row>
    <row r="27">
      <c r="A27" s="16" t="n"/>
      <c r="B27" s="16" t="n"/>
      <c r="C27" s="16" t="n"/>
      <c r="D27" s="16" t="n"/>
      <c r="E27" s="16" t="n"/>
      <c r="F27" s="16" t="n"/>
      <c r="G27" s="16" t="n"/>
      <c r="H27" s="16" t="n"/>
      <c r="I27" s="16" t="n"/>
      <c r="J27" s="16" t="n"/>
      <c r="K27" s="16" t="n"/>
      <c r="L27" s="18">
        <f>IF(N(H27)=0,"",I27/H27)</f>
        <v/>
      </c>
      <c r="M27" s="16" t="n"/>
      <c r="N27" s="16" t="n"/>
      <c r="O27" s="16" t="n"/>
      <c r="P27" s="16" t="n"/>
      <c r="Q27" s="16" t="n"/>
    </row>
    <row r="28">
      <c r="A28" s="16" t="n"/>
      <c r="B28" s="16" t="n"/>
      <c r="C28" s="16" t="n"/>
      <c r="D28" s="16" t="n"/>
      <c r="E28" s="16" t="n"/>
      <c r="F28" s="16" t="n"/>
      <c r="G28" s="16" t="n"/>
      <c r="H28" s="16" t="n"/>
      <c r="I28" s="16" t="n"/>
      <c r="J28" s="16" t="n"/>
      <c r="K28" s="16" t="n"/>
      <c r="L28" s="18">
        <f>IF(N(H28)=0,"",I28/H28)</f>
        <v/>
      </c>
      <c r="M28" s="16" t="n"/>
      <c r="N28" s="16" t="n"/>
      <c r="O28" s="16" t="n"/>
      <c r="P28" s="16" t="n"/>
      <c r="Q28" s="16" t="n"/>
    </row>
    <row r="29">
      <c r="A29" s="16" t="n"/>
      <c r="B29" s="16" t="n"/>
      <c r="C29" s="16" t="n"/>
      <c r="D29" s="16" t="n"/>
      <c r="E29" s="16" t="n"/>
      <c r="F29" s="16" t="n"/>
      <c r="G29" s="16" t="n"/>
      <c r="H29" s="16" t="n"/>
      <c r="I29" s="16" t="n"/>
      <c r="J29" s="16" t="n"/>
      <c r="K29" s="16" t="n"/>
      <c r="L29" s="18">
        <f>IF(N(H29)=0,"",I29/H29)</f>
        <v/>
      </c>
      <c r="M29" s="16" t="n"/>
      <c r="N29" s="16" t="n"/>
      <c r="O29" s="16" t="n"/>
      <c r="P29" s="16" t="n"/>
      <c r="Q29" s="16" t="n"/>
    </row>
    <row r="30">
      <c r="A30" s="16" t="n"/>
      <c r="B30" s="16" t="n"/>
      <c r="C30" s="16" t="n"/>
      <c r="D30" s="16" t="n"/>
      <c r="E30" s="16" t="n"/>
      <c r="F30" s="16" t="n"/>
      <c r="G30" s="16" t="n"/>
      <c r="H30" s="16" t="n"/>
      <c r="I30" s="16" t="n"/>
      <c r="J30" s="16" t="n"/>
      <c r="K30" s="16" t="n"/>
      <c r="L30" s="18">
        <f>IF(N(H30)=0,"",I30/H30)</f>
        <v/>
      </c>
      <c r="M30" s="16" t="n"/>
      <c r="N30" s="16" t="n"/>
      <c r="O30" s="16" t="n"/>
      <c r="P30" s="16" t="n"/>
      <c r="Q30" s="16" t="n"/>
    </row>
    <row r="31">
      <c r="A31" s="16" t="n"/>
      <c r="B31" s="16" t="n"/>
      <c r="C31" s="16" t="n"/>
      <c r="D31" s="16" t="n"/>
      <c r="E31" s="16" t="n"/>
      <c r="F31" s="16" t="n"/>
      <c r="G31" s="16" t="n"/>
      <c r="H31" s="16" t="n"/>
      <c r="I31" s="16" t="n"/>
      <c r="J31" s="16" t="n"/>
      <c r="K31" s="16" t="n"/>
      <c r="L31" s="18">
        <f>IF(N(H31)=0,"",I31/H31)</f>
        <v/>
      </c>
      <c r="M31" s="16" t="n"/>
      <c r="N31" s="16" t="n"/>
      <c r="O31" s="16" t="n"/>
      <c r="P31" s="16" t="n"/>
      <c r="Q31" s="16" t="n"/>
    </row>
    <row r="32">
      <c r="A32" s="16" t="n"/>
      <c r="B32" s="16" t="n"/>
      <c r="C32" s="16" t="n"/>
      <c r="D32" s="16" t="n"/>
      <c r="E32" s="16" t="n"/>
      <c r="F32" s="16" t="n"/>
      <c r="G32" s="16" t="n"/>
      <c r="H32" s="16" t="n"/>
      <c r="I32" s="16" t="n"/>
      <c r="J32" s="16" t="n"/>
      <c r="K32" s="16" t="n"/>
      <c r="L32" s="18">
        <f>IF(N(H32)=0,"",I32/H32)</f>
        <v/>
      </c>
      <c r="M32" s="16" t="n"/>
      <c r="N32" s="16" t="n"/>
      <c r="O32" s="16" t="n"/>
      <c r="P32" s="16" t="n"/>
      <c r="Q32" s="16" t="n"/>
    </row>
    <row r="33">
      <c r="A33" s="16" t="n"/>
      <c r="B33" s="16" t="n"/>
      <c r="C33" s="16" t="n"/>
      <c r="D33" s="16" t="n"/>
      <c r="E33" s="16" t="n"/>
      <c r="F33" s="16" t="n"/>
      <c r="G33" s="16" t="n"/>
      <c r="H33" s="16" t="n"/>
      <c r="I33" s="16" t="n"/>
      <c r="J33" s="16" t="n"/>
      <c r="K33" s="16" t="n"/>
      <c r="L33" s="18">
        <f>IF(N(H33)=0,"",I33/H33)</f>
        <v/>
      </c>
      <c r="M33" s="16" t="n"/>
      <c r="N33" s="16" t="n"/>
      <c r="O33" s="16" t="n"/>
      <c r="P33" s="16" t="n"/>
      <c r="Q33" s="16" t="n"/>
    </row>
    <row r="34">
      <c r="A34" s="16" t="n"/>
      <c r="B34" s="16" t="n"/>
      <c r="C34" s="16" t="n"/>
      <c r="D34" s="16" t="n"/>
      <c r="E34" s="16" t="n"/>
      <c r="F34" s="16" t="n"/>
      <c r="G34" s="16" t="n"/>
      <c r="H34" s="16" t="n"/>
      <c r="I34" s="16" t="n"/>
      <c r="J34" s="16" t="n"/>
      <c r="K34" s="16" t="n"/>
      <c r="L34" s="18">
        <f>IF(N(H34)=0,"",I34/H34)</f>
        <v/>
      </c>
      <c r="M34" s="16" t="n"/>
      <c r="N34" s="16" t="n"/>
      <c r="O34" s="16" t="n"/>
      <c r="P34" s="16" t="n"/>
      <c r="Q34" s="16" t="n"/>
    </row>
    <row r="35">
      <c r="A35" s="16" t="n"/>
      <c r="B35" s="16" t="n"/>
      <c r="C35" s="16" t="n"/>
      <c r="D35" s="16" t="n"/>
      <c r="E35" s="16" t="n"/>
      <c r="F35" s="16" t="n"/>
      <c r="G35" s="16" t="n"/>
      <c r="H35" s="16" t="n"/>
      <c r="I35" s="16" t="n"/>
      <c r="J35" s="16" t="n"/>
      <c r="K35" s="16" t="n"/>
      <c r="L35" s="18">
        <f>IF(N(H35)=0,"",I35/H35)</f>
        <v/>
      </c>
      <c r="M35" s="16" t="n"/>
      <c r="N35" s="16" t="n"/>
      <c r="O35" s="16" t="n"/>
      <c r="P35" s="16" t="n"/>
      <c r="Q35" s="16" t="n"/>
    </row>
    <row r="36">
      <c r="A36" s="16" t="n"/>
      <c r="B36" s="16" t="n"/>
      <c r="C36" s="16" t="n"/>
      <c r="D36" s="16" t="n"/>
      <c r="E36" s="16" t="n"/>
      <c r="F36" s="16" t="n"/>
      <c r="G36" s="16" t="n"/>
      <c r="H36" s="16" t="n"/>
      <c r="I36" s="16" t="n"/>
      <c r="J36" s="16" t="n"/>
      <c r="K36" s="16" t="n"/>
      <c r="L36" s="18">
        <f>IF(N(H36)=0,"",I36/H36)</f>
        <v/>
      </c>
      <c r="M36" s="16" t="n"/>
      <c r="N36" s="16" t="n"/>
      <c r="O36" s="16" t="n"/>
      <c r="P36" s="16" t="n"/>
      <c r="Q36" s="16" t="n"/>
    </row>
    <row r="37">
      <c r="A37" s="16" t="n"/>
      <c r="B37" s="16" t="n"/>
      <c r="C37" s="16" t="n"/>
      <c r="D37" s="16" t="n"/>
      <c r="E37" s="16" t="n"/>
      <c r="F37" s="16" t="n"/>
      <c r="G37" s="16" t="n"/>
      <c r="H37" s="16" t="n"/>
      <c r="I37" s="16" t="n"/>
      <c r="J37" s="16" t="n"/>
      <c r="K37" s="16" t="n"/>
      <c r="L37" s="18">
        <f>IF(N(H37)=0,"",I37/H37)</f>
        <v/>
      </c>
      <c r="M37" s="16" t="n"/>
      <c r="N37" s="16" t="n"/>
      <c r="O37" s="16" t="n"/>
      <c r="P37" s="16" t="n"/>
      <c r="Q37" s="16" t="n"/>
    </row>
    <row r="38">
      <c r="A38" s="16" t="n"/>
      <c r="B38" s="16" t="n"/>
      <c r="C38" s="16" t="n"/>
      <c r="D38" s="16" t="n"/>
      <c r="E38" s="16" t="n"/>
      <c r="F38" s="16" t="n"/>
      <c r="G38" s="16" t="n"/>
      <c r="H38" s="16" t="n"/>
      <c r="I38" s="16" t="n"/>
      <c r="J38" s="16" t="n"/>
      <c r="K38" s="16" t="n"/>
      <c r="L38" s="18">
        <f>IF(N(H38)=0,"",I38/H38)</f>
        <v/>
      </c>
      <c r="M38" s="16" t="n"/>
      <c r="N38" s="16" t="n"/>
      <c r="O38" s="16" t="n"/>
      <c r="P38" s="16" t="n"/>
      <c r="Q38" s="16" t="n"/>
    </row>
    <row r="39">
      <c r="A39" s="16" t="n"/>
      <c r="B39" s="16" t="n"/>
      <c r="C39" s="16" t="n"/>
      <c r="D39" s="16" t="n"/>
      <c r="E39" s="16" t="n"/>
      <c r="F39" s="16" t="n"/>
      <c r="G39" s="16" t="n"/>
      <c r="H39" s="16" t="n"/>
      <c r="I39" s="16" t="n"/>
      <c r="J39" s="16" t="n"/>
      <c r="K39" s="16" t="n"/>
      <c r="L39" s="18">
        <f>IF(N(H39)=0,"",I39/H39)</f>
        <v/>
      </c>
      <c r="M39" s="16" t="n"/>
      <c r="N39" s="16" t="n"/>
      <c r="O39" s="16" t="n"/>
      <c r="P39" s="16" t="n"/>
      <c r="Q39" s="16" t="n"/>
    </row>
    <row r="40">
      <c r="A40" s="16" t="n"/>
      <c r="B40" s="16" t="n"/>
      <c r="C40" s="16" t="n"/>
      <c r="D40" s="16" t="n"/>
      <c r="E40" s="16" t="n"/>
      <c r="F40" s="16" t="n"/>
      <c r="G40" s="16" t="n"/>
      <c r="H40" s="16" t="n"/>
      <c r="I40" s="16" t="n"/>
      <c r="J40" s="16" t="n"/>
      <c r="K40" s="16" t="n"/>
      <c r="L40" s="18">
        <f>IF(N(H40)=0,"",I40/H40)</f>
        <v/>
      </c>
      <c r="M40" s="16" t="n"/>
      <c r="N40" s="16" t="n"/>
      <c r="O40" s="16" t="n"/>
      <c r="P40" s="16" t="n"/>
      <c r="Q40" s="16" t="n"/>
    </row>
    <row r="41">
      <c r="A41" s="16" t="n"/>
      <c r="B41" s="16" t="n"/>
      <c r="C41" s="16" t="n"/>
      <c r="D41" s="16" t="n"/>
      <c r="E41" s="16" t="n"/>
      <c r="F41" s="16" t="n"/>
      <c r="G41" s="16" t="n"/>
      <c r="H41" s="16" t="n"/>
      <c r="I41" s="16" t="n"/>
      <c r="J41" s="16" t="n"/>
      <c r="K41" s="16" t="n"/>
      <c r="L41" s="18">
        <f>IF(N(H41)=0,"",I41/H41)</f>
        <v/>
      </c>
      <c r="M41" s="16" t="n"/>
      <c r="N41" s="16" t="n"/>
      <c r="O41" s="16" t="n"/>
      <c r="P41" s="16" t="n"/>
      <c r="Q41" s="16" t="n"/>
    </row>
    <row r="42">
      <c r="A42" s="16" t="n"/>
      <c r="B42" s="16" t="n"/>
      <c r="C42" s="16" t="n"/>
      <c r="D42" s="16" t="n"/>
      <c r="E42" s="16" t="n"/>
      <c r="F42" s="16" t="n"/>
      <c r="G42" s="16" t="n"/>
      <c r="H42" s="16" t="n"/>
      <c r="I42" s="16" t="n"/>
      <c r="J42" s="16" t="n"/>
      <c r="K42" s="16" t="n"/>
      <c r="L42" s="18">
        <f>IF(N(H42)=0,"",I42/H42)</f>
        <v/>
      </c>
      <c r="M42" s="16" t="n"/>
      <c r="N42" s="16" t="n"/>
      <c r="O42" s="16" t="n"/>
      <c r="P42" s="16" t="n"/>
      <c r="Q42" s="16" t="n"/>
    </row>
    <row r="43">
      <c r="A43" s="16" t="n"/>
      <c r="B43" s="16" t="n"/>
      <c r="C43" s="16" t="n"/>
      <c r="D43" s="16" t="n"/>
      <c r="E43" s="16" t="n"/>
      <c r="F43" s="16" t="n"/>
      <c r="G43" s="16" t="n"/>
      <c r="H43" s="16" t="n"/>
      <c r="I43" s="16" t="n"/>
      <c r="J43" s="16" t="n"/>
      <c r="K43" s="16" t="n"/>
      <c r="L43" s="18">
        <f>IF(N(H43)=0,"",I43/H43)</f>
        <v/>
      </c>
      <c r="M43" s="16" t="n"/>
      <c r="N43" s="16" t="n"/>
      <c r="O43" s="16" t="n"/>
      <c r="P43" s="16" t="n"/>
      <c r="Q43" s="16" t="n"/>
    </row>
    <row r="44">
      <c r="A44" s="16" t="n"/>
      <c r="B44" s="16" t="n"/>
      <c r="C44" s="16" t="n"/>
      <c r="D44" s="16" t="n"/>
      <c r="E44" s="16" t="n"/>
      <c r="F44" s="16" t="n"/>
      <c r="G44" s="16" t="n"/>
      <c r="H44" s="16" t="n"/>
      <c r="I44" s="16" t="n"/>
      <c r="J44" s="16" t="n"/>
      <c r="K44" s="16" t="n"/>
      <c r="L44" s="18">
        <f>IF(N(H44)=0,"",I44/H44)</f>
        <v/>
      </c>
      <c r="M44" s="16" t="n"/>
      <c r="N44" s="16" t="n"/>
      <c r="O44" s="16" t="n"/>
      <c r="P44" s="16" t="n"/>
      <c r="Q44" s="16" t="n"/>
    </row>
    <row r="45">
      <c r="A45" s="16" t="n"/>
      <c r="B45" s="16" t="n"/>
      <c r="C45" s="16" t="n"/>
      <c r="D45" s="16" t="n"/>
      <c r="E45" s="16" t="n"/>
      <c r="F45" s="16" t="n"/>
      <c r="G45" s="16" t="n"/>
      <c r="H45" s="16" t="n"/>
      <c r="I45" s="16" t="n"/>
      <c r="J45" s="16" t="n"/>
      <c r="K45" s="16" t="n"/>
      <c r="L45" s="18">
        <f>IF(N(H45)=0,"",I45/H45)</f>
        <v/>
      </c>
      <c r="M45" s="16" t="n"/>
      <c r="N45" s="16" t="n"/>
      <c r="O45" s="16" t="n"/>
      <c r="P45" s="16" t="n"/>
      <c r="Q45" s="16" t="n"/>
    </row>
    <row r="46">
      <c r="A46" s="16" t="n"/>
      <c r="B46" s="16" t="n"/>
      <c r="C46" s="16" t="n"/>
      <c r="D46" s="16" t="n"/>
      <c r="E46" s="16" t="n"/>
      <c r="F46" s="16" t="n"/>
      <c r="G46" s="16" t="n"/>
      <c r="H46" s="16" t="n"/>
      <c r="I46" s="16" t="n"/>
      <c r="J46" s="16" t="n"/>
      <c r="K46" s="16" t="n"/>
      <c r="L46" s="18">
        <f>IF(N(H46)=0,"",I46/H46)</f>
        <v/>
      </c>
      <c r="M46" s="16" t="n"/>
      <c r="N46" s="16" t="n"/>
      <c r="O46" s="16" t="n"/>
      <c r="P46" s="16" t="n"/>
      <c r="Q46" s="16" t="n"/>
    </row>
    <row r="47">
      <c r="A47" s="16" t="n"/>
      <c r="B47" s="16" t="n"/>
      <c r="C47" s="16" t="n"/>
      <c r="D47" s="16" t="n"/>
      <c r="E47" s="16" t="n"/>
      <c r="F47" s="16" t="n"/>
      <c r="G47" s="16" t="n"/>
      <c r="H47" s="16" t="n"/>
      <c r="I47" s="16" t="n"/>
      <c r="J47" s="16" t="n"/>
      <c r="K47" s="16" t="n"/>
      <c r="L47" s="18">
        <f>IF(N(H47)=0,"",I47/H47)</f>
        <v/>
      </c>
      <c r="M47" s="16" t="n"/>
      <c r="N47" s="16" t="n"/>
      <c r="O47" s="16" t="n"/>
      <c r="P47" s="16" t="n"/>
      <c r="Q47" s="16" t="n"/>
    </row>
    <row r="48">
      <c r="A48" s="16" t="n"/>
      <c r="B48" s="16" t="n"/>
      <c r="C48" s="16" t="n"/>
      <c r="D48" s="16" t="n"/>
      <c r="E48" s="16" t="n"/>
      <c r="F48" s="16" t="n"/>
      <c r="G48" s="16" t="n"/>
      <c r="H48" s="16" t="n"/>
      <c r="I48" s="16" t="n"/>
      <c r="J48" s="16" t="n"/>
      <c r="K48" s="16" t="n"/>
      <c r="L48" s="18">
        <f>IF(N(H48)=0,"",I48/H48)</f>
        <v/>
      </c>
      <c r="M48" s="16" t="n"/>
      <c r="N48" s="16" t="n"/>
      <c r="O48" s="16" t="n"/>
      <c r="P48" s="16" t="n"/>
      <c r="Q48" s="16" t="n"/>
    </row>
    <row r="49">
      <c r="A49" s="16" t="n"/>
      <c r="B49" s="16" t="n"/>
      <c r="C49" s="16" t="n"/>
      <c r="D49" s="16" t="n"/>
      <c r="E49" s="16" t="n"/>
      <c r="F49" s="16" t="n"/>
      <c r="G49" s="16" t="n"/>
      <c r="H49" s="16" t="n"/>
      <c r="I49" s="16" t="n"/>
      <c r="J49" s="16" t="n"/>
      <c r="K49" s="16" t="n"/>
      <c r="L49" s="18">
        <f>IF(N(H49)=0,"",I49/H49)</f>
        <v/>
      </c>
      <c r="M49" s="16" t="n"/>
      <c r="N49" s="16" t="n"/>
      <c r="O49" s="16" t="n"/>
      <c r="P49" s="16" t="n"/>
      <c r="Q49" s="16" t="n"/>
    </row>
    <row r="50">
      <c r="A50" s="16" t="n"/>
      <c r="B50" s="16" t="n"/>
      <c r="C50" s="16" t="n"/>
      <c r="D50" s="16" t="n"/>
      <c r="E50" s="16" t="n"/>
      <c r="F50" s="16" t="n"/>
      <c r="G50" s="16" t="n"/>
      <c r="H50" s="16" t="n"/>
      <c r="I50" s="16" t="n"/>
      <c r="J50" s="16" t="n"/>
      <c r="K50" s="16" t="n"/>
      <c r="L50" s="18">
        <f>IF(N(H50)=0,"",I50/H50)</f>
        <v/>
      </c>
      <c r="M50" s="16" t="n"/>
      <c r="N50" s="16" t="n"/>
      <c r="O50" s="16" t="n"/>
      <c r="P50" s="16" t="n"/>
      <c r="Q50" s="16" t="n"/>
    </row>
    <row r="51">
      <c r="A51" s="16" t="n"/>
      <c r="B51" s="16" t="n"/>
      <c r="C51" s="16" t="n"/>
      <c r="D51" s="16" t="n"/>
      <c r="E51" s="16" t="n"/>
      <c r="F51" s="16" t="n"/>
      <c r="G51" s="16" t="n"/>
      <c r="H51" s="16" t="n"/>
      <c r="I51" s="16" t="n"/>
      <c r="J51" s="16" t="n"/>
      <c r="K51" s="16" t="n"/>
      <c r="L51" s="18">
        <f>IF(N(H51)=0,"",I51/H51)</f>
        <v/>
      </c>
      <c r="M51" s="16" t="n"/>
      <c r="N51" s="16" t="n"/>
      <c r="O51" s="16" t="n"/>
      <c r="P51" s="16" t="n"/>
      <c r="Q51" s="16" t="n"/>
    </row>
    <row r="52">
      <c r="A52" s="16" t="n"/>
      <c r="B52" s="16" t="n"/>
      <c r="C52" s="16" t="n"/>
      <c r="D52" s="16" t="n"/>
      <c r="E52" s="16" t="n"/>
      <c r="F52" s="16" t="n"/>
      <c r="G52" s="16" t="n"/>
      <c r="H52" s="16" t="n"/>
      <c r="I52" s="16" t="n"/>
      <c r="J52" s="16" t="n"/>
      <c r="K52" s="16" t="n"/>
      <c r="L52" s="18">
        <f>IF(N(H52)=0,"",I52/H52)</f>
        <v/>
      </c>
      <c r="M52" s="16" t="n"/>
      <c r="N52" s="16" t="n"/>
      <c r="O52" s="16" t="n"/>
      <c r="P52" s="16" t="n"/>
      <c r="Q52" s="16" t="n"/>
    </row>
    <row r="53">
      <c r="A53" s="16" t="n"/>
      <c r="B53" s="16" t="n"/>
      <c r="C53" s="16" t="n"/>
      <c r="D53" s="16" t="n"/>
      <c r="E53" s="16" t="n"/>
      <c r="F53" s="16" t="n"/>
      <c r="G53" s="16" t="n"/>
      <c r="H53" s="16" t="n"/>
      <c r="I53" s="16" t="n"/>
      <c r="J53" s="16" t="n"/>
      <c r="K53" s="16" t="n"/>
      <c r="L53" s="18">
        <f>IF(N(H53)=0,"",I53/H53)</f>
        <v/>
      </c>
      <c r="M53" s="16" t="n"/>
      <c r="N53" s="16" t="n"/>
      <c r="O53" s="16" t="n"/>
      <c r="P53" s="16" t="n"/>
      <c r="Q53" s="16" t="n"/>
    </row>
    <row r="54">
      <c r="A54" s="16" t="n"/>
      <c r="B54" s="16" t="n"/>
      <c r="C54" s="16" t="n"/>
      <c r="D54" s="16" t="n"/>
      <c r="E54" s="16" t="n"/>
      <c r="F54" s="16" t="n"/>
      <c r="G54" s="16" t="n"/>
      <c r="H54" s="16" t="n"/>
      <c r="I54" s="16" t="n"/>
      <c r="J54" s="16" t="n"/>
      <c r="K54" s="16" t="n"/>
      <c r="L54" s="18">
        <f>IF(N(H54)=0,"",I54/H54)</f>
        <v/>
      </c>
      <c r="M54" s="16" t="n"/>
      <c r="N54" s="16" t="n"/>
      <c r="O54" s="16" t="n"/>
      <c r="P54" s="16" t="n"/>
      <c r="Q54" s="16" t="n"/>
    </row>
    <row r="55">
      <c r="A55" s="16" t="n"/>
      <c r="B55" s="16" t="n"/>
      <c r="C55" s="16" t="n"/>
      <c r="D55" s="16" t="n"/>
      <c r="E55" s="16" t="n"/>
      <c r="F55" s="16" t="n"/>
      <c r="G55" s="16" t="n"/>
      <c r="H55" s="16" t="n"/>
      <c r="I55" s="16" t="n"/>
      <c r="J55" s="16" t="n"/>
      <c r="K55" s="16" t="n"/>
      <c r="L55" s="18">
        <f>IF(N(H55)=0,"",I55/H55)</f>
        <v/>
      </c>
      <c r="M55" s="16" t="n"/>
      <c r="N55" s="16" t="n"/>
      <c r="O55" s="16" t="n"/>
      <c r="P55" s="16" t="n"/>
      <c r="Q55" s="16" t="n"/>
    </row>
    <row r="56">
      <c r="A56" s="16" t="n"/>
      <c r="B56" s="16" t="n"/>
      <c r="C56" s="16" t="n"/>
      <c r="D56" s="16" t="n"/>
      <c r="E56" s="16" t="n"/>
      <c r="F56" s="16" t="n"/>
      <c r="G56" s="16" t="n"/>
      <c r="H56" s="16" t="n"/>
      <c r="I56" s="16" t="n"/>
      <c r="J56" s="16" t="n"/>
      <c r="K56" s="16" t="n"/>
      <c r="L56" s="18">
        <f>IF(N(H56)=0,"",I56/H56)</f>
        <v/>
      </c>
      <c r="M56" s="16" t="n"/>
      <c r="N56" s="16" t="n"/>
      <c r="O56" s="16" t="n"/>
      <c r="P56" s="16" t="n"/>
      <c r="Q56" s="16" t="n"/>
    </row>
    <row r="57">
      <c r="A57" s="16" t="n"/>
      <c r="B57" s="16" t="n"/>
      <c r="C57" s="16" t="n"/>
      <c r="D57" s="16" t="n"/>
      <c r="E57" s="16" t="n"/>
      <c r="F57" s="16" t="n"/>
      <c r="G57" s="16" t="n"/>
      <c r="H57" s="16" t="n"/>
      <c r="I57" s="16" t="n"/>
      <c r="J57" s="16" t="n"/>
      <c r="K57" s="16" t="n"/>
      <c r="L57" s="18">
        <f>IF(N(H57)=0,"",I57/H57)</f>
        <v/>
      </c>
      <c r="M57" s="16" t="n"/>
      <c r="N57" s="16" t="n"/>
      <c r="O57" s="16" t="n"/>
      <c r="P57" s="16" t="n"/>
      <c r="Q57" s="16" t="n"/>
    </row>
    <row r="58">
      <c r="A58" s="16" t="n"/>
      <c r="B58" s="16" t="n"/>
      <c r="C58" s="16" t="n"/>
      <c r="D58" s="16" t="n"/>
      <c r="E58" s="16" t="n"/>
      <c r="F58" s="16" t="n"/>
      <c r="G58" s="16" t="n"/>
      <c r="H58" s="16" t="n"/>
      <c r="I58" s="16" t="n"/>
      <c r="J58" s="16" t="n"/>
      <c r="K58" s="16" t="n"/>
      <c r="L58" s="18">
        <f>IF(N(H58)=0,"",I58/H58)</f>
        <v/>
      </c>
      <c r="M58" s="16" t="n"/>
      <c r="N58" s="16" t="n"/>
      <c r="O58" s="16" t="n"/>
      <c r="P58" s="16" t="n"/>
      <c r="Q58" s="16" t="n"/>
    </row>
    <row r="59">
      <c r="A59" s="16" t="n"/>
      <c r="B59" s="16" t="n"/>
      <c r="C59" s="16" t="n"/>
      <c r="D59" s="16" t="n"/>
      <c r="E59" s="16" t="n"/>
      <c r="F59" s="16" t="n"/>
      <c r="G59" s="16" t="n"/>
      <c r="H59" s="16" t="n"/>
      <c r="I59" s="16" t="n"/>
      <c r="J59" s="16" t="n"/>
      <c r="K59" s="16" t="n"/>
      <c r="L59" s="18">
        <f>IF(N(H59)=0,"",I59/H59)</f>
        <v/>
      </c>
      <c r="M59" s="16" t="n"/>
      <c r="N59" s="16" t="n"/>
      <c r="O59" s="16" t="n"/>
      <c r="P59" s="16" t="n"/>
      <c r="Q59" s="16" t="n"/>
    </row>
    <row r="60">
      <c r="A60" s="16" t="n"/>
      <c r="B60" s="16" t="n"/>
      <c r="C60" s="16" t="n"/>
      <c r="D60" s="16" t="n"/>
      <c r="E60" s="16" t="n"/>
      <c r="F60" s="16" t="n"/>
      <c r="G60" s="16" t="n"/>
      <c r="H60" s="16" t="n"/>
      <c r="I60" s="16" t="n"/>
      <c r="J60" s="16" t="n"/>
      <c r="K60" s="16" t="n"/>
      <c r="L60" s="18">
        <f>IF(N(H60)=0,"",I60/H60)</f>
        <v/>
      </c>
      <c r="M60" s="16" t="n"/>
      <c r="N60" s="16" t="n"/>
      <c r="O60" s="16" t="n"/>
      <c r="P60" s="16" t="n"/>
      <c r="Q60" s="16" t="n"/>
    </row>
  </sheetData>
  <autoFilter ref="A2:Q2"/>
  <mergeCells count="1">
    <mergeCell ref="A1:Q1"/>
  </mergeCells>
  <conditionalFormatting sqref="O3:O60">
    <cfRule type="cellIs" priority="1" operator="equal" dxfId="0">
      <formula>"GO"</formula>
    </cfRule>
    <cfRule type="cellIs" priority="2" operator="equal" dxfId="1">
      <formula>"NO-GO"</formula>
    </cfRule>
    <cfRule type="cellIs" priority="3" operator="equal" dxfId="2">
      <formula>"GO with conditions"</formula>
    </cfRule>
    <cfRule type="cellIs" priority="4" operator="equal" dxfId="3">
      <formula>"Pending"</formula>
    </cfRule>
  </conditionalFormatting>
  <dataValidations count="1">
    <dataValidation sqref="O3:O60" showDropDown="0" showInputMessage="0" showErrorMessage="0" allowBlank="1" type="list">
      <formula1>=Lists!$N$2:$N$5</formula1>
    </dataValidation>
  </dataValidations>
  <pageMargins left="0.75" right="0.75" top="1" bottom="1" header="0.5" footer="0.5"/>
</worksheet>
</file>

<file path=xl/worksheets/sheet9.xml><?xml version="1.0" encoding="utf-8"?>
<worksheet xmlns="http://schemas.openxmlformats.org/spreadsheetml/2006/main">
  <sheetPr>
    <tabColor rgb="0050596B"/>
    <outlinePr summaryBelow="1" summaryRight="1"/>
    <pageSetUpPr/>
  </sheetPr>
  <dimension ref="A1:C26"/>
  <sheetViews>
    <sheetView workbookViewId="0">
      <pane ySplit="2" topLeftCell="A3" activePane="bottomLeft" state="frozen"/>
      <selection pane="bottomLeft" activeCell="A1" sqref="A1"/>
    </sheetView>
  </sheetViews>
  <sheetFormatPr baseColWidth="8" defaultRowHeight="15"/>
  <cols>
    <col width="8" customWidth="1" min="1" max="1"/>
    <col width="110" customWidth="1" min="2" max="2"/>
    <col width="40" customWidth="1" min="3" max="3"/>
  </cols>
  <sheetData>
    <row r="1" ht="26" customHeight="1">
      <c r="A1" s="13" t="inlineStr">
        <is>
          <t>YOUR ORIGINAL NOTES — kept word for word, never edited. Every row below is traced into the Defect Log or the Change Requests sheet.</t>
        </is>
      </c>
    </row>
    <row r="2" ht="42" customHeight="1">
      <c r="A2" s="14" t="inlineStr">
        <is>
          <t>Note #</t>
        </is>
      </c>
      <c r="B2" s="14" t="inlineStr">
        <is>
          <t>Issue as originally written</t>
        </is>
      </c>
      <c r="C2" s="14" t="inlineStr">
        <is>
          <t>Location as originally written</t>
        </is>
      </c>
    </row>
    <row r="3" ht="15" customHeight="1">
      <c r="A3" s="17" t="n">
        <v>1</v>
      </c>
      <c r="B3" s="16" t="inlineStr">
        <is>
          <t>remove this caracter : —  from all the product contents</t>
        </is>
      </c>
      <c r="C3" s="16" t="inlineStr">
        <is>
          <t>https://edu.kogiagroup.com/</t>
        </is>
      </c>
    </row>
    <row r="4" ht="15" customHeight="1">
      <c r="A4" s="17" t="n">
        <v>2</v>
      </c>
      <c r="B4" s="16" t="inlineStr">
        <is>
          <t>Deux mondes  what's this mean ?</t>
        </is>
      </c>
      <c r="C4" s="16" t="inlineStr">
        <is>
          <t>https://edu.kogiagroup.com/</t>
        </is>
      </c>
    </row>
    <row r="5" ht="15" customHeight="1">
      <c r="A5" s="17" t="n">
        <v>3</v>
      </c>
      <c r="B5" s="16" t="inlineStr">
        <is>
          <t>Tarifs simples : let's convert it to Euro better</t>
        </is>
      </c>
      <c r="C5" s="16" t="inlineStr">
        <is>
          <t>https://edu.kogiagroup.com/</t>
        </is>
      </c>
    </row>
    <row r="6" ht="15" customHeight="1">
      <c r="A6" s="17" t="n">
        <v>4</v>
      </c>
      <c r="B6" s="16" t="inlineStr">
        <is>
          <t>try to eliminate Tunisia atmosphere from all product contents</t>
        </is>
      </c>
      <c r="C6" s="16" t="inlineStr">
        <is>
          <t>all product elements</t>
        </is>
      </c>
    </row>
    <row r="7" ht="15" customHeight="1">
      <c r="A7" s="17" t="n">
        <v>5</v>
      </c>
      <c r="B7" s="16" t="inlineStr">
        <is>
          <t>redirect the product to be international let's say europian</t>
        </is>
      </c>
      <c r="C7" s="16" t="inlineStr">
        <is>
          <t>all product elements</t>
        </is>
      </c>
    </row>
    <row r="8" ht="26" customHeight="1">
      <c r="A8" s="17" t="n">
        <v>6</v>
      </c>
      <c r="B8" s="16" t="inlineStr">
        <is>
          <t>Deux mondes Modules Vos données TarifsFAQ  : when I click here nothing is change because all their contents all in same page just scroll down - so I don't like it solve it</t>
        </is>
      </c>
      <c r="C8" s="16" t="inlineStr">
        <is>
          <t>https://edu.kogiagroup.com/</t>
        </is>
      </c>
    </row>
    <row r="9" ht="15" customHeight="1">
      <c r="A9" s="17" t="n">
        <v>7</v>
      </c>
      <c r="B9" s="16" t="inlineStr">
        <is>
          <t>Pré-inscription form design I don’t like make more bigger in left-right sides</t>
        </is>
      </c>
      <c r="C9" s="16" t="inlineStr">
        <is>
          <t>https://edu.kogiagroup.com/#/inscription</t>
        </is>
      </c>
    </row>
    <row r="10" ht="114" customHeight="1">
      <c r="A10" s="17" t="n">
        <v>8</v>
      </c>
      <c r="B10" s="16" t="inlineStr">
        <is>
          <t>Pre-inscription form details : choose some new details from the following info and add them into our pre-inscription form ok ? 
Preschool Registration Form
Child's Name
First
Last
Date of Birth
Gender
Male
Male
Home Address
Street Address
Street Address Line 2
City
Region
Postal / Zip Code
Bahrain
Parents Details
Mother’s Name
First
Last
Phone
### ### #### 
Address
Street Address
Street Address Line 2
City
Region
Postal / Zip Code
Bahrain
Father’s Name
First
Last
Phone
### ### #### 
Address
Street Address
Street Address Line 2
City
Region
Postal / Zip Code
Bahrain
Child Health Conditions
Does your child suffer from any allergies, illness, disability or other medical conditions?
Yes
No
If yes, please describe
Is there any other information or issues you would like the teachers to know?
Preschool Information
Please select preffered programs
2 days tuition a week
3 days tuition a week
4 days tuition a week
5 days tuition a week
before school care
after school care
before &amp; after school care
SEND</t>
        </is>
      </c>
      <c r="C10" s="16" t="inlineStr">
        <is>
          <t>https://edu.kogiagroup.com/#/inscription</t>
        </is>
      </c>
    </row>
    <row r="11" ht="150" customHeight="1">
      <c r="A11" s="17" t="n">
        <v>9</v>
      </c>
      <c r="B11" s="16" t="inlineStr">
        <is>
          <t>pre-inscription ::  please check the following details and pick what it's good for our product like condition or agreements … 2019-20 Celebrating Children Preschool Registration Form 
Forms will be accepted on or after January 22, 2019 
Registration for (choose one): 
Yellow Class (3 &amp; 4 year old): 9:30-12:00 (Mon. &amp; Wed.) ________ 
Blue Class (3 &amp; 4 year old): 9:30-12:00 (Tues. &amp; Thurs.) ________ 
Green Class (4 &amp; 5 year old morning class):  9:30-12:00 (Tues. Wed. &amp; Thurs.) ________ 
Red Class (4 &amp; 5 year old afternoon class): 12:45-3:15 (Tues. Wed. &amp; Thurs.) ________ 
Purple High Five: 9:30-12:00 (Mon. Tues. Wed. &amp; Thurs.)________ 
Child’s Name              
Preferred Name          
_______  
Primary Phone    
Address (include City and Zip Code)          
Date of Birth        
________________ 
_____ _                  
Parent 1/Legal Guardian          
Male__________  Female__________ 
______ 
Parent 1 email address ___________________________________________________________ 
Occupation/Business Name        
____________ 
Parent 1 Work Phone ______________________Parent 1 Cell Phone ____________________      
Parent 2/Legal Guardian        
__________________ 
Parent 2 email address ___________________________________________________________ 
Occupation/Business Name         
Parent 2 Work Phone   
Name, age and school (if applicable) of siblings… 
______ 
______________Parent 2 Cell Phone _____________________       
Has anyone in your family previously been enrolled at Celebrating Children Preschool?  If so, who &amp; 
when? 
Has your child attended preschool before?  If so, where and how long? 
**class is only available if I have enough kids to run it. 
If a Non-Member, would you like to receive information about Shepherd of the Valley Lutheran Church 
and our activities?   Yes_______   No_______ 
I hereby agree that, if my child is accepted by the school, I will pay the monthly fee in advance, by the 
15th of the month, and will cooperate with the school in carrying out any requirements set for the 
parents.  I will notify the school of any changes in the information as entered on this record. 
I hereby agree to notify the school two weeks in advance of withdrawal, should such an event occur, 
or pay the difference. 
An immunization record must be on file before the child may attend.   After a trial period, the school 
reserves the right of dismissing a child who does not fit into the school’s program or whose parents do 
not cooperate with the school. 
SIGNED         
SIGNED         
Date    
_____ 
(Mother or legal guardian) 
Date    
____ 
(Father or legal guardian) 
Please attach a check to the completed registration form which includes a 
$50.00 non-refundable registration fee plus ½ month’s tuition of $65.00 for a total of $115.00 the   
3 year old classes 
or 
$50.00 non-refundable registration fee plus ½ month’s tuition of $78.00 for a total of $130.00 for 
the 4 year old classes 
or 
$50.00 non-refundable registration fee plus ½ month’s tuition of $92.50 for a total of $142.50 for 
the High Five class 
Tuition is refundable until July 1, 2019 for all classes 
In the event that my child does not get into the session that has been requested, please… 
____ put my child’s name on the morning waiting list (3/4’s please circle    M &amp; W      
____put my child’s name on the afternoon waiting list (only available to 4/5 class) 
T &amp; Th      
or     
____put my child’s name on both the morning and afternoon waiting lists (only available to 4/5 class) 
____remove my child’s registration  
destroy       
I am willing to donate      
and 
or        
return      
my check.      
(For office use only) 
REGISTRATION INFORMATION 
(circle one) 
to the CCP scholarship fund. 
Date Paid: _____________________________ 
Amount Paid: __________________________ 
 Both) 
Check Number: _________________________</t>
        </is>
      </c>
      <c r="C11" s="16" t="inlineStr">
        <is>
          <t>https://edu.kogiagroup.com/#/inscription</t>
        </is>
      </c>
    </row>
    <row r="12" ht="48" customHeight="1">
      <c r="A12" s="17" t="n">
        <v>10</v>
      </c>
      <c r="B12" s="16" t="inlineStr">
        <is>
          <t>when the parent choose level each level has his conditions and rules and formats .. So I think we have 4 category right Crèche
Pré-maternelle  
1ère année -- so better to change the form into several steps because each category has his different details should fill it  : Niveau demandé *
Crèche
Pré-maternelle
Maternelle 1
Maternelle 2
1ère année
2ème année
3ème année
4ème année
5ème année
6ème année</t>
        </is>
      </c>
      <c r="C12" s="16" t="inlineStr">
        <is>
          <t>https://edu.kogiagroup.com/#/inscription</t>
        </is>
      </c>
    </row>
    <row r="13" ht="15" customHeight="1">
      <c r="A13" s="17" t="n">
        <v>11</v>
      </c>
      <c r="B13" s="16" t="inlineStr">
        <is>
          <t>page design is terrable and size page not fit the browser page</t>
        </is>
      </c>
      <c r="C13" s="16" t="inlineStr">
        <is>
          <t>https://edu.kogiagroup.com/#/login</t>
        </is>
      </c>
    </row>
    <row r="14" ht="48" customHeight="1">
      <c r="A14" s="17" t="n">
        <v>12</v>
      </c>
      <c r="B14" s="16" t="inlineStr">
        <is>
          <t>those details  are not attractive change other things : Pas un ERP scolaire de plus
L'école qu'on a envie d'ouvrir.
Évaluer une classe en 30 secondes, suivre la journée de son enfant en direct, organiser la vie commune — web et mobile, les mêmes données.
Tableau de bord · aujourd'hui
121
Élèves
96%
Présence
8
À décider
par Kogia Group · © 2026 · Tunisie</t>
        </is>
      </c>
      <c r="C14" s="16" t="inlineStr">
        <is>
          <t>https://edu.kogiagroup.com/#/login</t>
        </is>
      </c>
    </row>
    <row r="15" ht="26" customHeight="1">
      <c r="A15" s="17" t="n">
        <v>13</v>
      </c>
      <c r="B15" s="16" t="inlineStr">
        <is>
          <t>password forgeten not found - so apply it and let's support@kogiagroup.com manage the the mecanism of password forgeten</t>
        </is>
      </c>
      <c r="C15" s="16" t="inlineStr">
        <is>
          <t>https://edu.kogiagroup.com/#/login</t>
        </is>
      </c>
    </row>
    <row r="16" ht="59" customHeight="1">
      <c r="A16" s="17" t="n">
        <v>14</v>
      </c>
      <c r="B16" s="16" t="inlineStr">
        <is>
          <t>develop it more and more this platform is managing the school that they are buying our product - beside what you want how to improve it with more features ( do search here to collect more infos) I have something I want you to do it I want corner that have some school details like their emails their domain ports ips some configs so when I want to check the school directly I can login and check what happen there maybe now not all infos exist so just prepare what we have now</t>
        </is>
      </c>
      <c r="C16" s="16" t="inlineStr">
        <is>
          <t>https://edu.kogiagroup.com/#/app - Kogia Group (Plateforme)</t>
        </is>
      </c>
    </row>
    <row r="17" ht="15" customHeight="1">
      <c r="A17" s="17" t="n">
        <v>15</v>
      </c>
      <c r="B17" s="16" t="inlineStr">
        <is>
          <t>in tableau de bord : there's some feature not clickable - check them all</t>
        </is>
      </c>
      <c r="C17" s="16" t="inlineStr">
        <is>
          <t>https://edu.kogiagroup.com/#/app - Kogia Group (Plateforme)</t>
        </is>
      </c>
    </row>
    <row r="18" ht="15" customHeight="1">
      <c r="A18" s="17" t="n">
        <v>16</v>
      </c>
      <c r="B18" s="16" t="inlineStr">
        <is>
          <t>meteo change the design make little small</t>
        </is>
      </c>
      <c r="C18" s="16" t="inlineStr">
        <is>
          <t>in all product elements</t>
        </is>
      </c>
    </row>
    <row r="19" ht="48" customHeight="1">
      <c r="A19" s="17" t="n">
        <v>17</v>
      </c>
      <c r="B19" s="16" t="inlineStr">
        <is>
          <t>I feel that platform direction has same platform Administration here we need understand more the tasks belong to each one - what I see Administration receive requests or create requests or see the dashboard of the evaluations of the students ||| direction the more view content or monitoring or final approve for the requests comes from admisnistration...anyway search more about the relation between the administration and direction.</t>
        </is>
      </c>
      <c r="C19" s="16" t="inlineStr">
        <is>
          <t>https://edu.kogiagroup.com/#/app --- Direction</t>
        </is>
      </c>
    </row>
    <row r="20" ht="81" customHeight="1">
      <c r="A20" s="17" t="n">
        <v>18</v>
      </c>
      <c r="B20" s="16" t="inlineStr">
        <is>
          <t>administration platform is center platform have many entries and many out - what I see now that all registration from students or teachers or anything else is not under ID number - so now rebuild it to be anything is under ID number - for example request from teacher has ID start Teacher_numbers_... registration new student student_number request accidents same I don't mean write id : student_8797 do the abreviation or find the right way how big company do and there's another ID is for human mean with previous id for human should any human has his ID for student sure they passport or ID so let parent should how they register and for adult human same they can choose also .. so we 2 IDs one ID for all things and human has IDs + Identity number \Passport</t>
        </is>
      </c>
      <c r="C20" s="16" t="inlineStr">
        <is>
          <t>https://edu.kogiagroup.com/#/app --- Administration</t>
        </is>
      </c>
    </row>
    <row r="21" ht="26" customHeight="1">
      <c r="A21" s="17" t="n">
        <v>19</v>
      </c>
      <c r="B21" s="16" t="inlineStr">
        <is>
          <t>Coreon Intelligence  ce que vos données disent cette semaine  : it's not in same line there's little degradation check it</t>
        </is>
      </c>
      <c r="C21" s="16" t="inlineStr">
        <is>
          <t>https://edu.kogiagroup.com/#/app --- Administration</t>
        </is>
      </c>
    </row>
    <row r="22" ht="26" customHeight="1">
      <c r="A22" s="17" t="n">
        <v>20</v>
      </c>
      <c r="B22" s="16" t="inlineStr">
        <is>
          <t>how Administration platform has all services in one platform ?! Any school has departments even one person wrok in that dept</t>
        </is>
      </c>
      <c r="C22" s="16" t="inlineStr">
        <is>
          <t>all product elements</t>
        </is>
      </c>
    </row>
    <row r="23" ht="26" customHeight="1">
      <c r="A23" s="17" t="n">
        <v>21</v>
      </c>
      <c r="B23" s="16" t="inlineStr">
        <is>
          <t>not logical that one platform admiin has all depts in one platform so it's time to create real platforms for HR ADMINSTRTION ACCOUNTNT</t>
        </is>
      </c>
      <c r="C23" s="16" t="inlineStr">
        <is>
          <t>all product elements</t>
        </is>
      </c>
    </row>
    <row r="24" ht="37" customHeight="1">
      <c r="A24" s="17" t="n">
        <v>22</v>
      </c>
      <c r="B24" s="16" t="inlineStr">
        <is>
          <t>Do search about the relations between DIRECTION ADMINSTRTION HR ACCOUNTANT SUPERVISOR SECURITY TEACHER PARENT for school and all the levels : Crèche
Pré-maternelle
Maternelle 1
Maternelle 2
1ère année
2ème année
3ème année
4ème année
5ème année
6ème année</t>
        </is>
      </c>
      <c r="C24" s="16" t="inlineStr">
        <is>
          <t>all product elements</t>
        </is>
      </c>
    </row>
    <row r="25" ht="26" customHeight="1">
      <c r="A25" s="17" t="n">
        <v>23</v>
      </c>
      <c r="B25" s="16" t="inlineStr">
        <is>
          <t>I know keep repeating same issue but I want to clear that we want change the current situation of product to real erp system</t>
        </is>
      </c>
      <c r="C25" s="16" t="inlineStr">
        <is>
          <t>all product elements</t>
        </is>
      </c>
    </row>
    <row r="26" ht="26" customHeight="1">
      <c r="A26" s="17" t="n">
        <v>24</v>
      </c>
      <c r="B26" s="16" t="inlineStr">
        <is>
          <t>Bulletins &amp; passage :: how teacher can give notes to all the classroom math english french Mathématiques
/20
Français
/20
Arabe
/20
Éveil scientifique
/20
Anglais</t>
        </is>
      </c>
      <c r="C26" s="16" t="inlineStr">
        <is>
          <t>https://edu.kogiagroup.com/#/app/academic</t>
        </is>
      </c>
    </row>
  </sheetData>
  <autoFilter ref="A2:C2"/>
  <mergeCells count="1">
    <mergeCell ref="A1:C1"/>
  </mergeCells>
  <pageMargins left="0.75" right="0.75" top="1" bottom="1" header="0.5" footer="0.5"/>
</worksheet>
</file>

<file path=xl/worksheets/sheet10.xml><?xml version="1.0" encoding="utf-8"?>
<worksheet xmlns="http://schemas.openxmlformats.org/spreadsheetml/2006/main">
  <sheetPr>
    <tabColor rgb="0050596B"/>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7" customWidth="1" min="4" max="4"/>
    <col width="14" customWidth="1" min="5" max="5"/>
    <col width="14" customWidth="1" min="6" max="6"/>
    <col width="17" customWidth="1" min="7" max="7"/>
    <col width="14" customWidth="1" min="8" max="8"/>
    <col width="18" customWidth="1" min="9" max="9"/>
    <col width="14" customWidth="1" min="10" max="10"/>
    <col width="14" customWidth="1" min="11" max="11"/>
    <col width="18" customWidth="1" min="12" max="12"/>
    <col width="14" customWidth="1" min="13" max="13"/>
    <col width="14" customWidth="1" min="14" max="14"/>
    <col width="14" customWidth="1" min="15" max="15"/>
    <col width="14" customWidth="1" min="16" max="16"/>
    <col width="14" customWidth="1" min="17" max="17"/>
  </cols>
  <sheetData>
    <row r="1">
      <c r="A1" s="19" t="inlineStr">
        <is>
          <t>Status</t>
        </is>
      </c>
      <c r="B1" s="19" t="inlineStr">
        <is>
          <t>Severity</t>
        </is>
      </c>
      <c r="C1" s="19" t="inlineStr">
        <is>
          <t>Priority</t>
        </is>
      </c>
      <c r="D1" s="19" t="inlineStr">
        <is>
          <t>ElementType</t>
        </is>
      </c>
      <c r="E1" s="19" t="inlineStr">
        <is>
          <t>TestType</t>
        </is>
      </c>
      <c r="F1" s="19" t="inlineStr">
        <is>
          <t>Role</t>
        </is>
      </c>
      <c r="G1" s="19" t="inlineStr">
        <is>
          <t>Environment</t>
        </is>
      </c>
      <c r="H1" s="19" t="inlineStr">
        <is>
          <t>Device</t>
        </is>
      </c>
      <c r="I1" s="19" t="inlineStr">
        <is>
          <t>DefectStatus</t>
        </is>
      </c>
      <c r="J1" s="19" t="inlineStr">
        <is>
          <t>Repro</t>
        </is>
      </c>
      <c r="K1" s="19" t="inlineStr">
        <is>
          <t>Retest</t>
        </is>
      </c>
      <c r="L1" s="19" t="inlineStr">
        <is>
          <t>ModuleStatus</t>
        </is>
      </c>
      <c r="M1" s="19" t="inlineStr">
        <is>
          <t>YesNo</t>
        </is>
      </c>
      <c r="N1" s="19" t="inlineStr">
        <is>
          <t>Decision</t>
        </is>
      </c>
      <c r="O1" s="19" t="inlineStr">
        <is>
          <t>CRType</t>
        </is>
      </c>
      <c r="P1" s="19" t="inlineStr">
        <is>
          <t>CRStatus</t>
        </is>
      </c>
      <c r="Q1" s="19" t="inlineStr">
        <is>
          <t>Effort</t>
        </is>
      </c>
    </row>
    <row r="2">
      <c r="A2" s="20" t="inlineStr">
        <is>
          <t>NOT RUN</t>
        </is>
      </c>
      <c r="B2" s="20" t="inlineStr">
        <is>
          <t>Critical</t>
        </is>
      </c>
      <c r="C2" s="20" t="inlineStr">
        <is>
          <t>P1 - Immediate</t>
        </is>
      </c>
      <c r="D2" s="20" t="inlineStr">
        <is>
          <t>Page load</t>
        </is>
      </c>
      <c r="E2" s="20" t="inlineStr">
        <is>
          <t>Functional</t>
        </is>
      </c>
      <c r="F2" s="20" t="inlineStr">
        <is>
          <t>owner</t>
        </is>
      </c>
      <c r="G2" s="20" t="inlineStr">
        <is>
          <t>Local dev</t>
        </is>
      </c>
      <c r="H2" s="20" t="inlineStr">
        <is>
          <t>Desktop Chrome</t>
        </is>
      </c>
      <c r="I2" s="20" t="inlineStr">
        <is>
          <t>NEW</t>
        </is>
      </c>
      <c r="J2" s="20" t="inlineStr">
        <is>
          <t>Always</t>
        </is>
      </c>
      <c r="K2" s="20" t="inlineStr">
        <is>
          <t>Not retested</t>
        </is>
      </c>
      <c r="L2" s="20" t="inlineStr">
        <is>
          <t>Not started</t>
        </is>
      </c>
      <c r="M2" s="20" t="inlineStr">
        <is>
          <t>Yes</t>
        </is>
      </c>
      <c r="N2" s="20" t="inlineStr">
        <is>
          <t>GO</t>
        </is>
      </c>
      <c r="O2" s="20" t="inlineStr">
        <is>
          <t>Enhancement</t>
        </is>
      </c>
      <c r="P2" s="20" t="inlineStr">
        <is>
          <t>NEW</t>
        </is>
      </c>
      <c r="Q2" s="20" t="inlineStr">
        <is>
          <t>XS</t>
        </is>
      </c>
    </row>
    <row r="3">
      <c r="A3" s="20" t="inlineStr">
        <is>
          <t>PASS</t>
        </is>
      </c>
      <c r="B3" s="20" t="inlineStr">
        <is>
          <t>Major</t>
        </is>
      </c>
      <c r="C3" s="20" t="inlineStr">
        <is>
          <t>P2 - High</t>
        </is>
      </c>
      <c r="D3" s="20" t="inlineStr">
        <is>
          <t>Button</t>
        </is>
      </c>
      <c r="E3" s="20" t="inlineStr">
        <is>
          <t>UI / Visual</t>
        </is>
      </c>
      <c r="F3" s="20" t="inlineStr">
        <is>
          <t>schooladmin</t>
        </is>
      </c>
      <c r="G3" s="20" t="inlineStr">
        <is>
          <t>Local build</t>
        </is>
      </c>
      <c r="H3" s="20" t="inlineStr">
        <is>
          <t>Desktop Firefox</t>
        </is>
      </c>
      <c r="I3" s="20" t="inlineStr">
        <is>
          <t>OPEN</t>
        </is>
      </c>
      <c r="J3" s="20" t="inlineStr">
        <is>
          <t>Sometimes</t>
        </is>
      </c>
      <c r="K3" s="20" t="inlineStr">
        <is>
          <t>PASS</t>
        </is>
      </c>
      <c r="L3" s="20" t="inlineStr">
        <is>
          <t>In progress</t>
        </is>
      </c>
      <c r="M3" s="20" t="inlineStr">
        <is>
          <t>No</t>
        </is>
      </c>
      <c r="N3" s="20" t="inlineStr">
        <is>
          <t>NO-GO</t>
        </is>
      </c>
      <c r="O3" s="20" t="inlineStr">
        <is>
          <t>New feature</t>
        </is>
      </c>
      <c r="P3" s="20" t="inlineStr">
        <is>
          <t>TRIAGED</t>
        </is>
      </c>
      <c r="Q3" s="20" t="inlineStr">
        <is>
          <t>S</t>
        </is>
      </c>
    </row>
    <row r="4">
      <c r="A4" s="20" t="inlineStr">
        <is>
          <t>FAIL</t>
        </is>
      </c>
      <c r="B4" s="20" t="inlineStr">
        <is>
          <t>Minor</t>
        </is>
      </c>
      <c r="C4" s="20" t="inlineStr">
        <is>
          <t>P3 - Medium</t>
        </is>
      </c>
      <c r="D4" s="20" t="inlineStr">
        <is>
          <t>Link</t>
        </is>
      </c>
      <c r="E4" s="20" t="inlineStr">
        <is>
          <t>Negative</t>
        </is>
      </c>
      <c r="F4" s="20" t="inlineStr">
        <is>
          <t>admin</t>
        </is>
      </c>
      <c r="G4" s="20" t="inlineStr">
        <is>
          <t>Server mode</t>
        </is>
      </c>
      <c r="H4" s="20" t="inlineStr">
        <is>
          <t>Desktop Safari</t>
        </is>
      </c>
      <c r="I4" s="20" t="inlineStr">
        <is>
          <t>IN PROGRESS</t>
        </is>
      </c>
      <c r="J4" s="20" t="inlineStr">
        <is>
          <t>Once only</t>
        </is>
      </c>
      <c r="K4" s="20" t="inlineStr">
        <is>
          <t>FAIL</t>
        </is>
      </c>
      <c r="L4" s="20" t="inlineStr">
        <is>
          <t>Complete</t>
        </is>
      </c>
      <c r="N4" s="20" t="inlineStr">
        <is>
          <t>GO with conditions</t>
        </is>
      </c>
      <c r="O4" s="20" t="inlineStr">
        <is>
          <t>Design</t>
        </is>
      </c>
      <c r="P4" s="20" t="inlineStr">
        <is>
          <t>APPROVED</t>
        </is>
      </c>
      <c r="Q4" s="20" t="inlineStr">
        <is>
          <t>M</t>
        </is>
      </c>
    </row>
    <row r="5">
      <c r="A5" s="20" t="inlineStr">
        <is>
          <t>BLOCKED</t>
        </is>
      </c>
      <c r="B5" s="20" t="inlineStr">
        <is>
          <t>Trivial</t>
        </is>
      </c>
      <c r="C5" s="20" t="inlineStr">
        <is>
          <t>P4 - Low</t>
        </is>
      </c>
      <c r="D5" s="20" t="inlineStr">
        <is>
          <t>Form field</t>
        </is>
      </c>
      <c r="E5" s="20" t="inlineStr">
        <is>
          <t>Access control</t>
        </is>
      </c>
      <c r="F5" s="20" t="inlineStr">
        <is>
          <t>teacher</t>
        </is>
      </c>
      <c r="G5" s="20" t="inlineStr">
        <is>
          <t>GitHub Pages</t>
        </is>
      </c>
      <c r="H5" s="20" t="inlineStr">
        <is>
          <t>Desktop Edge</t>
        </is>
      </c>
      <c r="I5" s="20" t="inlineStr">
        <is>
          <t>FIXED</t>
        </is>
      </c>
      <c r="J5" s="20" t="inlineStr">
        <is>
          <t>Not reproduced</t>
        </is>
      </c>
      <c r="L5" s="20" t="inlineStr">
        <is>
          <t>Blocked</t>
        </is>
      </c>
      <c r="N5" s="20" t="inlineStr">
        <is>
          <t>Pending</t>
        </is>
      </c>
      <c r="O5" s="20" t="inlineStr">
        <is>
          <t>Content</t>
        </is>
      </c>
      <c r="P5" s="20" t="inlineStr">
        <is>
          <t>IN PROGRESS</t>
        </is>
      </c>
      <c r="Q5" s="20" t="inlineStr">
        <is>
          <t>L</t>
        </is>
      </c>
    </row>
    <row r="6">
      <c r="A6" s="20" t="inlineStr">
        <is>
          <t>N-A</t>
        </is>
      </c>
      <c r="D6" s="20" t="inlineStr">
        <is>
          <t>Form submit</t>
        </is>
      </c>
      <c r="E6" s="20" t="inlineStr">
        <is>
          <t>Business rule</t>
        </is>
      </c>
      <c r="F6" s="20" t="inlineStr">
        <is>
          <t>supervisor</t>
        </is>
      </c>
      <c r="G6" s="20" t="inlineStr">
        <is>
          <t>edu.kogiagroup.com</t>
        </is>
      </c>
      <c r="H6" s="20" t="inlineStr">
        <is>
          <t>Mobile Chrome 390px</t>
        </is>
      </c>
      <c r="I6" s="20" t="inlineStr">
        <is>
          <t>READY TO RETEST</t>
        </is>
      </c>
      <c r="L6" s="20" t="inlineStr">
        <is>
          <t>Out of scope</t>
        </is>
      </c>
      <c r="O6" s="20" t="inlineStr">
        <is>
          <t>Epic</t>
        </is>
      </c>
      <c r="P6" s="20" t="inlineStr">
        <is>
          <t>DONE</t>
        </is>
      </c>
      <c r="Q6" s="20" t="inlineStr">
        <is>
          <t>XL</t>
        </is>
      </c>
    </row>
    <row r="7">
      <c r="D7" s="20" t="inlineStr">
        <is>
          <t>Dropdown</t>
        </is>
      </c>
      <c r="E7" s="20" t="inlineStr">
        <is>
          <t>Data integrity</t>
        </is>
      </c>
      <c r="F7" s="20" t="inlineStr">
        <is>
          <t>security</t>
        </is>
      </c>
      <c r="H7" s="20" t="inlineStr">
        <is>
          <t>Mobile Safari iOS</t>
        </is>
      </c>
      <c r="I7" s="20" t="inlineStr">
        <is>
          <t>CLOSED</t>
        </is>
      </c>
      <c r="O7" s="20" t="inlineStr">
        <is>
          <t>Research</t>
        </is>
      </c>
      <c r="P7" s="20" t="inlineStr">
        <is>
          <t>REJECTED</t>
        </is>
      </c>
    </row>
    <row r="8">
      <c r="D8" s="20" t="inlineStr">
        <is>
          <t>Checkbox</t>
        </is>
      </c>
      <c r="E8" s="20" t="inlineStr">
        <is>
          <t>Responsive</t>
        </is>
      </c>
      <c r="F8" s="20" t="inlineStr">
        <is>
          <t>parent</t>
        </is>
      </c>
      <c r="H8" s="20" t="inlineStr">
        <is>
          <t>Tablet</t>
        </is>
      </c>
      <c r="I8" s="20" t="inlineStr">
        <is>
          <t>REOPENED</t>
        </is>
      </c>
      <c r="P8" s="20" t="inlineStr">
        <is>
          <t>DEFERRED</t>
        </is>
      </c>
    </row>
    <row r="9">
      <c r="D9" s="20" t="inlineStr">
        <is>
          <t>Radio</t>
        </is>
      </c>
      <c r="E9" s="20" t="inlineStr">
        <is>
          <t>RTL / Arabic</t>
        </is>
      </c>
      <c r="F9" s="20" t="inlineStr">
        <is>
          <t>not logged in</t>
        </is>
      </c>
      <c r="H9" s="20" t="inlineStr">
        <is>
          <t>Expo mobile app</t>
        </is>
      </c>
      <c r="I9" s="20" t="inlineStr">
        <is>
          <t>WON'T FIX</t>
        </is>
      </c>
    </row>
    <row r="10">
      <c r="D10" s="20" t="inlineStr">
        <is>
          <t>Toggle</t>
        </is>
      </c>
      <c r="E10" s="20" t="inlineStr">
        <is>
          <t>Accessibility</t>
        </is>
      </c>
      <c r="I10" s="20" t="inlineStr">
        <is>
          <t>DUPLICATE</t>
        </is>
      </c>
    </row>
    <row r="11">
      <c r="D11" s="20" t="inlineStr">
        <is>
          <t>Tab</t>
        </is>
      </c>
      <c r="E11" s="20" t="inlineStr">
        <is>
          <t>Performance</t>
        </is>
      </c>
      <c r="I11" s="20" t="inlineStr">
        <is>
          <t>NOT A BUG</t>
        </is>
      </c>
    </row>
    <row r="12">
      <c r="D12" s="20" t="inlineStr">
        <is>
          <t>Modal</t>
        </is>
      </c>
      <c r="E12" s="20" t="inlineStr">
        <is>
          <t>Security</t>
        </is>
      </c>
    </row>
    <row r="13">
      <c r="D13" s="20" t="inlineStr">
        <is>
          <t>Table</t>
        </is>
      </c>
      <c r="E13" s="20" t="inlineStr">
        <is>
          <t>Regression</t>
        </is>
      </c>
    </row>
    <row r="14">
      <c r="D14" s="20" t="inlineStr">
        <is>
          <t>Table sort</t>
        </is>
      </c>
      <c r="E14" s="20" t="inlineStr">
        <is>
          <t>Exploratory</t>
        </is>
      </c>
    </row>
    <row r="15">
      <c r="D15" s="20" t="inlineStr">
        <is>
          <t>Search</t>
        </is>
      </c>
    </row>
    <row r="16">
      <c r="D16" s="20" t="inlineStr">
        <is>
          <t>Filter chip</t>
        </is>
      </c>
    </row>
    <row r="17">
      <c r="D17" s="20" t="inlineStr">
        <is>
          <t>Stat tile</t>
        </is>
      </c>
    </row>
    <row r="18">
      <c r="D18" s="20" t="inlineStr">
        <is>
          <t>Icon</t>
        </is>
      </c>
    </row>
    <row r="19">
      <c r="D19" s="20" t="inlineStr">
        <is>
          <t>Menu</t>
        </is>
      </c>
    </row>
    <row r="20">
      <c r="D20" s="20" t="inlineStr">
        <is>
          <t>Drag &amp; drop</t>
        </is>
      </c>
    </row>
    <row r="21">
      <c r="D21" s="20" t="inlineStr">
        <is>
          <t>File upload</t>
        </is>
      </c>
    </row>
    <row r="22">
      <c r="D22" s="20" t="inlineStr">
        <is>
          <t>Export CSV</t>
        </is>
      </c>
    </row>
    <row r="23">
      <c r="D23" s="20" t="inlineStr">
        <is>
          <t>Print / PDF</t>
        </is>
      </c>
    </row>
    <row r="24">
      <c r="D24" s="20" t="inlineStr">
        <is>
          <t>Keyboard shortcut</t>
        </is>
      </c>
    </row>
    <row r="25">
      <c r="D25" s="20" t="inlineStr">
        <is>
          <t>Notification</t>
        </is>
      </c>
    </row>
    <row r="26">
      <c r="D26" s="20" t="inlineStr">
        <is>
          <t>Toast</t>
        </is>
      </c>
    </row>
    <row r="27">
      <c r="D27" s="20" t="inlineStr">
        <is>
          <t>Navigation</t>
        </is>
      </c>
    </row>
    <row r="28">
      <c r="D28" s="20" t="inlineStr">
        <is>
          <t>Empty state</t>
        </is>
      </c>
    </row>
    <row r="29">
      <c r="D29" s="20" t="inlineStr">
        <is>
          <t>Error state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2026-07-22T13:21:15Z</dcterms:created>
  <dcterms:modified xmlns:dcterms="http://purl.org/dc/terms/" xmlns:xsi="http://www.w3.org/2001/XMLSchema-instance" xsi:type="dcterms:W3CDTF">2026-07-25T14:11:02Z</dcterms:modified>
</cp:coreProperties>
</file>