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ashboard" sheetId="2" state="visible" r:id="rId2"/>
    <sheet xmlns:r="http://schemas.openxmlformats.org/officeDocument/2006/relationships" name="Test Log" sheetId="3" state="visible" r:id="rId3"/>
    <sheet xmlns:r="http://schemas.openxmlformats.org/officeDocument/2006/relationships" name="Defect Log" sheetId="4" state="visible" r:id="rId4"/>
    <sheet xmlns:r="http://schemas.openxmlformats.org/officeDocument/2006/relationships" name="Change Requests" sheetId="5" state="visible" r:id="rId5"/>
    <sheet xmlns:r="http://schemas.openxmlformats.org/officeDocument/2006/relationships" name="Modules" sheetId="6" state="visible" r:id="rId6"/>
    <sheet xmlns:r="http://schemas.openxmlformats.org/officeDocument/2006/relationships" name="Roles &amp; Logins" sheetId="7" state="visible" r:id="rId7"/>
    <sheet xmlns:r="http://schemas.openxmlformats.org/officeDocument/2006/relationships" name="Test Cycles" sheetId="8" state="visible" r:id="rId8"/>
    <sheet xmlns:r="http://schemas.openxmlformats.org/officeDocument/2006/relationships" name="Raw Notes (original)" sheetId="9" state="visible" r:id="rId9"/>
    <sheet xmlns:r="http://schemas.openxmlformats.org/officeDocument/2006/relationships" name="Lists" sheetId="10" state="visible" r:id="rId10"/>
  </sheets>
  <definedNames>
    <definedName name="_xlnm._FilterDatabase" localSheetId="2" hidden="1">'Test Log'!$A$2:$AA$2</definedName>
    <definedName name="_xlnm._FilterDatabase" localSheetId="3" hidden="1">'Defect Log'!$A$2:$Z$2</definedName>
    <definedName name="_xlnm._FilterDatabase" localSheetId="4" hidden="1">'Change Requests'!$A$2:$T$2</definedName>
    <definedName name="_xlnm._FilterDatabase" localSheetId="5" hidden="1">'Modules'!$A$2:$N$2</definedName>
    <definedName name="_xlnm._FilterDatabase" localSheetId="6" hidden="1">'Roles &amp; Logins'!$A$2:$F$2</definedName>
    <definedName name="_xlnm._FilterDatabase" localSheetId="7" hidden="1">'Test Cycles'!$A$2:$Q$2</definedName>
    <definedName name="_xlnm._FilterDatabase" localSheetId="8" hidden="1">'Raw Notes (original)'!$A$2:$C$2</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b val="1"/>
      <color rgb="00FFFFFF"/>
      <sz val="16"/>
    </font>
    <font>
      <b val="1"/>
      <sz val="10"/>
    </font>
    <font>
      <sz val="10"/>
    </font>
    <font>
      <b val="1"/>
      <color rgb="00FFFFFF"/>
      <sz val="11"/>
    </font>
    <font>
      <b val="1"/>
      <color rgb="00FFFFFF"/>
      <sz val="10"/>
    </font>
    <font>
      <b val="1"/>
      <color rgb="00FFFFFF"/>
      <sz val="12"/>
    </font>
    <font>
      <i val="1"/>
      <color rgb="007A8194"/>
      <sz val="10"/>
    </font>
    <font>
      <b val="1"/>
      <sz val="11"/>
    </font>
    <font>
      <color rgb="007A8194"/>
      <sz val="9"/>
    </font>
    <font>
      <b val="1"/>
      <color rgb="000B6B2F"/>
      <sz val="10"/>
    </font>
    <font>
      <b val="1"/>
      <color rgb="008A5A00"/>
      <sz val="10"/>
    </font>
    <font>
      <b val="1"/>
      <color rgb="009C0006"/>
      <sz val="10"/>
    </font>
  </fonts>
  <fills count="8">
    <fill>
      <patternFill/>
    </fill>
    <fill>
      <patternFill patternType="gray125"/>
    </fill>
    <fill>
      <patternFill patternType="solid">
        <fgColor rgb="001F2A44"/>
      </patternFill>
    </fill>
    <fill>
      <patternFill patternType="solid">
        <fgColor rgb="007539E4"/>
      </patternFill>
    </fill>
    <fill>
      <patternFill patternType="solid">
        <fgColor rgb="00F1F3F8"/>
      </patternFill>
    </fill>
    <fill>
      <patternFill patternType="solid">
        <fgColor rgb="00C6EFCE"/>
      </patternFill>
    </fill>
    <fill>
      <patternFill patternType="solid">
        <fgColor rgb="00FFE699"/>
      </patternFill>
    </fill>
    <fill>
      <patternFill patternType="solid">
        <fgColor rgb="00FFC7CE"/>
      </patternFill>
    </fill>
  </fills>
  <borders count="2">
    <border>
      <left/>
      <right/>
      <top/>
      <bottom/>
      <diagonal/>
    </border>
    <border>
      <left style="thin">
        <color rgb="00D5DAE5"/>
      </left>
      <right style="thin">
        <color rgb="00D5DAE5"/>
      </right>
      <top style="thin">
        <color rgb="00D5DAE5"/>
      </top>
      <bottom style="thin">
        <color rgb="00D5DAE5"/>
      </bottom>
    </border>
  </borders>
  <cellStyleXfs count="1">
    <xf numFmtId="0" fontId="0" fillId="0" borderId="0"/>
  </cellStyleXfs>
  <cellXfs count="24">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top" indent="1"/>
    </xf>
    <xf numFmtId="0" fontId="3" fillId="0" borderId="0" applyAlignment="1" pivotButton="0" quotePrefix="0" xfId="0">
      <alignment vertical="top" wrapText="1"/>
    </xf>
    <xf numFmtId="0" fontId="4" fillId="3" borderId="0" applyAlignment="1" pivotButton="0" quotePrefix="0" xfId="0">
      <alignment vertical="center" indent="1"/>
    </xf>
    <xf numFmtId="0" fontId="2" fillId="4" borderId="0" applyAlignment="1" pivotButton="0" quotePrefix="0" xfId="0">
      <alignment vertical="top" indent="1"/>
    </xf>
    <xf numFmtId="0" fontId="7" fillId="0" borderId="0" pivotButton="0" quotePrefix="0" xfId="0"/>
    <xf numFmtId="0" fontId="2" fillId="0" borderId="0" pivotButton="0" quotePrefix="0" xfId="0"/>
    <xf numFmtId="1" fontId="8" fillId="4" borderId="1" applyAlignment="1" pivotButton="0" quotePrefix="0" xfId="0">
      <alignment horizontal="center"/>
    </xf>
    <xf numFmtId="0" fontId="9" fillId="0" borderId="0" pivotButton="0" quotePrefix="0" xfId="0"/>
    <xf numFmtId="164" fontId="8" fillId="4" borderId="1" applyAlignment="1" pivotButton="0" quotePrefix="0" xfId="0">
      <alignment horizontal="center"/>
    </xf>
    <xf numFmtId="0" fontId="2" fillId="0" borderId="1" applyAlignment="1" pivotButton="0" quotePrefix="0" xfId="0">
      <alignment horizontal="center"/>
    </xf>
    <xf numFmtId="0" fontId="5" fillId="2" borderId="0" applyAlignment="1" pivotButton="0" quotePrefix="0" xfId="0">
      <alignment vertical="center" indent="1"/>
    </xf>
    <xf numFmtId="0" fontId="6" fillId="2" borderId="0" applyAlignment="1" pivotButton="0" quotePrefix="0" xfId="0">
      <alignment vertical="center" indent="1"/>
    </xf>
    <xf numFmtId="0" fontId="5" fillId="3" borderId="1" applyAlignment="1" pivotButton="0" quotePrefix="0" xfId="0">
      <alignment horizontal="center" vertical="center" wrapText="1"/>
    </xf>
    <xf numFmtId="0" fontId="7" fillId="0"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9" fontId="3" fillId="0" borderId="1" applyAlignment="1" pivotButton="0" quotePrefix="0" xfId="0">
      <alignment vertical="top" wrapText="1"/>
    </xf>
    <xf numFmtId="0" fontId="5" fillId="2" borderId="0" applyAlignment="1" pivotButton="0" quotePrefix="0" xfId="0">
      <alignment horizontal="center"/>
    </xf>
    <xf numFmtId="0" fontId="3" fillId="0" borderId="0" pivotButton="0" quotePrefix="0" xfId="0"/>
    <xf numFmtId="0" fontId="10" fillId="5" borderId="1" applyAlignment="1" pivotButton="0" quotePrefix="0" xfId="0">
      <alignment vertical="top" wrapText="1"/>
    </xf>
    <xf numFmtId="0" fontId="11" fillId="6" borderId="1" applyAlignment="1" pivotButton="0" quotePrefix="0" xfId="0">
      <alignment vertical="top" wrapText="1"/>
    </xf>
    <xf numFmtId="0" fontId="12" fillId="7" borderId="1" applyAlignment="1" pivotButton="0" quotePrefix="0" xfId="0">
      <alignment vertical="top" wrapText="1"/>
    </xf>
  </cellXfs>
  <cellStyles count="1">
    <cellStyle name="Normal" xfId="0" builtinId="0" hidden="0"/>
  </cellStyles>
  <dxfs count="4">
    <dxf>
      <font>
        <b val="1"/>
        <color rgb="000B6B2F"/>
      </font>
      <fill>
        <patternFill patternType="solid">
          <bgColor rgb="00C6EFCE"/>
        </patternFill>
      </fill>
    </dxf>
    <dxf>
      <font>
        <b val="1"/>
        <color rgb="009C0006"/>
      </font>
      <fill>
        <patternFill patternType="solid">
          <bgColor rgb="00FFC7CE"/>
        </patternFill>
      </fill>
    </dxf>
    <dxf>
      <font>
        <b val="1"/>
        <color rgb="008A5A00"/>
      </font>
      <fill>
        <patternFill patternType="solid">
          <bgColor rgb="00FFE699"/>
        </patternFill>
      </fill>
    </dxf>
    <dxf>
      <font>
        <b val="1"/>
        <color rgb="0050596B"/>
      </font>
      <fill>
        <patternFill patternType="solid">
          <bgColor rgb="00E4E7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2A44"/>
    <outlinePr summaryBelow="1" summaryRight="1"/>
    <pageSetUpPr/>
  </sheetPr>
  <dimension ref="A1:B56"/>
  <sheetViews>
    <sheetView showGridLines="0" workbookViewId="0">
      <selection activeCell="A1" sqref="A1"/>
    </sheetView>
  </sheetViews>
  <sheetFormatPr baseColWidth="8" defaultRowHeight="15"/>
  <cols>
    <col width="30" customWidth="1" min="1" max="1"/>
    <col width="108" customWidth="1" min="2" max="2"/>
  </cols>
  <sheetData>
    <row r="1" ht="34" customHeight="1">
      <c r="A1" s="1" t="inlineStr">
        <is>
          <t>COREON EDU — MANUAL TEST EXECUTION WORKBOOK</t>
        </is>
      </c>
    </row>
    <row r="2" ht="16" customHeight="1">
      <c r="A2" s="2" t="inlineStr">
        <is>
          <t>Standard</t>
        </is>
      </c>
      <c r="B2" s="3" t="inlineStr">
        <is>
          <t>Test Case Specification + Defect Register, per ISO/IEC/IEEE 29119-3 (formerly IEEE 829).</t>
        </is>
      </c>
    </row>
    <row r="3" ht="16" customHeight="1">
      <c r="A3" s="2" t="inlineStr">
        <is>
          <t>Phase</t>
        </is>
      </c>
      <c r="B3" s="3" t="inlineStr">
        <is>
          <t>Test Design &amp; Test Execution, inside the System Testing stage of the STLC.</t>
        </is>
      </c>
    </row>
    <row r="4" ht="16" customHeight="1">
      <c r="A4" s="2" t="inlineStr">
        <is>
          <t>Product</t>
        </is>
      </c>
      <c r="B4" s="3" t="inlineStr">
        <is>
          <t>Coreon EDU — Kogia Group</t>
        </is>
      </c>
    </row>
    <row r="5" ht="16" customHeight="1">
      <c r="A5" s="2" t="inlineStr">
        <is>
          <t>Owner</t>
        </is>
      </c>
      <c r="B5" s="3" t="inlineStr">
        <is>
          <t>Othman Ounis</t>
        </is>
      </c>
    </row>
    <row r="7" ht="24" customHeight="1">
      <c r="A7" s="4" t="inlineStr">
        <is>
          <t>THE SHEETS</t>
        </is>
      </c>
    </row>
    <row r="8" ht="16" customHeight="1">
      <c r="A8" s="5" t="inlineStr">
        <is>
          <t>Dashboard</t>
        </is>
      </c>
      <c r="B8" s="3" t="inlineStr">
        <is>
          <t>Read-only. Auto-calculates pass rate, coverage and open defects. Do not type here.</t>
        </is>
      </c>
    </row>
    <row r="9" ht="16" customHeight="1">
      <c r="A9" s="5" t="inlineStr">
        <is>
          <t>Test Log</t>
        </is>
      </c>
      <c r="B9" s="3" t="inlineStr">
        <is>
          <t>THE MAIN SHEET. One row per element tested. This is where you spend your time.</t>
        </is>
      </c>
    </row>
    <row r="10" ht="30" customHeight="1">
      <c r="A10" s="5" t="inlineStr">
        <is>
          <t>Defect Log</t>
        </is>
      </c>
      <c r="B10" s="3" t="inlineStr">
        <is>
          <t>One row per BUG — something that is broken in what already exists. Every FAIL in Test Log points here.</t>
        </is>
      </c>
    </row>
    <row r="11" ht="30" customHeight="1">
      <c r="A11" s="5" t="inlineStr">
        <is>
          <t>Change Requests</t>
        </is>
      </c>
      <c r="B11" s="3" t="inlineStr">
        <is>
          <t>One row per thing to ADD or CHANGE. Not bugs. Enhancements, new features, design, content, epics, research.</t>
        </is>
      </c>
    </row>
    <row r="12" ht="16" customHeight="1">
      <c r="A12" s="5" t="inlineStr">
        <is>
          <t>Raw Notes (original)</t>
        </is>
      </c>
      <c r="B12" s="3" t="inlineStr">
        <is>
          <t>Your notes, kept word for word. Nothing is ever deleted from here — it is the audit trail.</t>
        </is>
      </c>
    </row>
    <row r="13" ht="16" customHeight="1">
      <c r="A13" s="5" t="inlineStr">
        <is>
          <t>Modules</t>
        </is>
      </c>
      <c r="B13" s="3" t="inlineStr">
        <is>
          <t>Inventory of all 46 screens. Tick them off as you cover them. Gives you the coverage %.</t>
        </is>
      </c>
    </row>
    <row r="14" ht="16" customHeight="1">
      <c r="A14" s="5" t="inlineStr">
        <is>
          <t>Roles &amp; Logins</t>
        </is>
      </c>
      <c r="B14" s="3" t="inlineStr">
        <is>
          <t>The 7 demo accounts. Use these, never invent new ones — results must be reproducible.</t>
        </is>
      </c>
    </row>
    <row r="15" ht="16" customHeight="1">
      <c r="A15" s="5" t="inlineStr">
        <is>
          <t>Test Cycles</t>
        </is>
      </c>
      <c r="B15" s="3" t="inlineStr">
        <is>
          <t>One row per round of testing (per release). Records the Go / No-Go decision.</t>
        </is>
      </c>
    </row>
    <row r="16" ht="16" customHeight="1">
      <c r="A16" s="5" t="inlineStr">
        <is>
          <t>Lists</t>
        </is>
      </c>
      <c r="B16" s="3" t="inlineStr">
        <is>
          <t>Source data for the dropdowns. Edit only if you want to change the allowed values.</t>
        </is>
      </c>
    </row>
    <row r="18" ht="24" customHeight="1">
      <c r="A18" s="4" t="inlineStr">
        <is>
          <t>HOW TO USE IT — THE LOOP</t>
        </is>
      </c>
    </row>
    <row r="19" ht="16" customHeight="1">
      <c r="A19" s="2" t="inlineStr">
        <is>
          <t>1. Pick a module</t>
        </is>
      </c>
      <c r="B19" s="3" t="inlineStr">
        <is>
          <t>Take one row from the Modules sheet. Test it completely before moving on. Do not jump around.</t>
        </is>
      </c>
    </row>
    <row r="20" ht="30" customHeight="1">
      <c r="A20" s="2" t="inlineStr">
        <is>
          <t>2. Pick a role</t>
        </is>
      </c>
      <c r="B20" s="3" t="inlineStr">
        <is>
          <t>Test the module as ONE role at a time. The same button can behave differently for a parent and for Direction.</t>
        </is>
      </c>
    </row>
    <row r="21" ht="30" customHeight="1">
      <c r="A21" s="2" t="inlineStr">
        <is>
          <t>3. Click everything</t>
        </is>
      </c>
      <c r="B21" s="3" t="inlineStr">
        <is>
          <t>Every button, link, tab, dropdown, toggle, icon, table header, modal close. One row in Test Log per element.</t>
        </is>
      </c>
    </row>
    <row r="22" ht="30" customHeight="1">
      <c r="A22" s="2" t="inlineStr">
        <is>
          <t>4. Write Expected BEFORE Actual</t>
        </is>
      </c>
      <c r="B22" s="3" t="inlineStr">
        <is>
          <t>Decide what SHOULD happen before you click. If you click first, you will accept whatever you see as normal. This is the single most important discipline in this file.</t>
        </is>
      </c>
    </row>
    <row r="23" ht="30" customHeight="1">
      <c r="A23" s="2" t="inlineStr">
        <is>
          <t>5. Mark the status</t>
        </is>
      </c>
      <c r="B23" s="3" t="inlineStr">
        <is>
          <t>PASS / FAIL / BLOCKED / NOT RUN / N-A. Blocked means you could not test it because something else is broken — it is not a Fail.</t>
        </is>
      </c>
    </row>
    <row r="24" ht="16" customHeight="1">
      <c r="A24" s="2" t="inlineStr">
        <is>
          <t>6. Log the defect</t>
        </is>
      </c>
      <c r="B24" s="3" t="inlineStr">
        <is>
          <t>Every FAIL gets a row in Defect Log and its ID written back into the Test Log row.</t>
        </is>
      </c>
    </row>
    <row r="25" ht="16" customHeight="1">
      <c r="A25" s="2" t="inlineStr">
        <is>
          <t>7. Retest after the fix</t>
        </is>
      </c>
      <c r="B25" s="3" t="inlineStr">
        <is>
          <t>Set Retest to PASS or FAIL. Never close a defect without retesting it yourself.</t>
        </is>
      </c>
    </row>
    <row r="27" ht="24" customHeight="1">
      <c r="A27" s="4" t="inlineStr">
        <is>
          <t>DEFECT vs CHANGE REQUEST — THE MOST IMPORTANT DISTINCTION IN THIS FILE</t>
        </is>
      </c>
    </row>
    <row r="28" ht="30" customHeight="1">
      <c r="A28" s="2" t="inlineStr">
        <is>
          <t>A DEFECT is</t>
        </is>
      </c>
      <c r="B28" s="3" t="inlineStr">
        <is>
          <t>The product does not do what it was supposed to do. Something is broken. It goes in the Defect Log.</t>
        </is>
      </c>
    </row>
    <row r="29" ht="30" customHeight="1">
      <c r="A29" s="2" t="inlineStr">
        <is>
          <t>A CHANGE REQUEST is</t>
        </is>
      </c>
      <c r="B29" s="3" t="inlineStr">
        <is>
          <t>The product works as designed, but the design itself should change. Nothing is broken. It goes in Change Requests.</t>
        </is>
      </c>
    </row>
    <row r="30" ht="30" customHeight="1">
      <c r="A30" s="2" t="inlineStr">
        <is>
          <t>Why keep them apart</t>
        </is>
      </c>
      <c r="B30" s="3" t="inlineStr">
        <is>
          <t>They are decided by different people, cost different money, and answer different questions. A defect asks 'when is it fixed'. A change request asks 'do we even want it, and is it worth the price'. Mixing them into one list is the fastest way to lose control of a product.</t>
        </is>
      </c>
    </row>
    <row r="31" ht="30" customHeight="1">
      <c r="A31" s="2" t="inlineStr">
        <is>
          <t>The test</t>
        </is>
      </c>
      <c r="B31" s="3" t="inlineStr">
        <is>
          <t>Ask: was it ever meant to work this way? If yes and it does not -&gt; defect. If it works as intended and you simply want something else -&gt; change request.</t>
        </is>
      </c>
    </row>
    <row r="32" ht="16" customHeight="1">
      <c r="A32" s="2" t="inlineStr">
        <is>
          <t>Example - defect</t>
        </is>
      </c>
      <c r="B32" s="3" t="inlineStr">
        <is>
          <t>The login page does not fit the browser window. It was never meant to overflow. DEF-001.</t>
        </is>
      </c>
    </row>
    <row r="33" ht="30" customHeight="1">
      <c r="A33" s="2" t="inlineStr">
        <is>
          <t>Example - change request</t>
        </is>
      </c>
      <c r="B33" s="3" t="inlineStr">
        <is>
          <t>Make the weather widget smaller. It works exactly as built; you want a different design. CR-015.</t>
        </is>
      </c>
    </row>
    <row r="35" ht="24" customHeight="1">
      <c r="A35" s="4" t="inlineStr">
        <is>
          <t>SEVERITY vs PRIORITY — THEY ARE NOT THE SAME</t>
        </is>
      </c>
    </row>
    <row r="36" ht="16" customHeight="1">
      <c r="A36" s="2" t="inlineStr">
        <is>
          <t>Severity</t>
        </is>
      </c>
      <c r="B36" s="3" t="inlineStr">
        <is>
          <t>How much damage the bug does. Set by the tester. Critical / Major / Minor / Trivial.</t>
        </is>
      </c>
    </row>
    <row r="37" ht="16" customHeight="1">
      <c r="A37" s="2" t="inlineStr">
        <is>
          <t>Priority</t>
        </is>
      </c>
      <c r="B37" s="3" t="inlineStr">
        <is>
          <t>How fast it must be fixed. Set by the product owner. P1 / P2 / P3 / P4.</t>
        </is>
      </c>
    </row>
    <row r="38" ht="30" customHeight="1">
      <c r="A38" s="2" t="inlineStr">
        <is>
          <t>Example</t>
        </is>
      </c>
      <c r="B38" s="3" t="inlineStr">
        <is>
          <t>A typo on the landing page is Trivial severity — but P1 priority if a school is visiting the site tomorrow.</t>
        </is>
      </c>
    </row>
    <row r="40" ht="24" customHeight="1">
      <c r="A40" s="4" t="inlineStr">
        <is>
          <t>SEVERITY SCALE</t>
        </is>
      </c>
    </row>
    <row r="41" ht="30" customHeight="1">
      <c r="A41" s="2" t="inlineStr">
        <is>
          <t>Critical</t>
        </is>
      </c>
      <c r="B41" s="3" t="inlineStr">
        <is>
          <t>Data loss, data leak between roles, money is wrong, or the app cannot be used at all. Stop the release.</t>
        </is>
      </c>
    </row>
    <row r="42" ht="16" customHeight="1">
      <c r="A42" s="2" t="inlineStr">
        <is>
          <t>Major</t>
        </is>
      </c>
      <c r="B42" s="3" t="inlineStr">
        <is>
          <t>A main function does not work, and there is no workaround.</t>
        </is>
      </c>
    </row>
    <row r="43" ht="16" customHeight="1">
      <c r="A43" s="2" t="inlineStr">
        <is>
          <t>Minor</t>
        </is>
      </c>
      <c r="B43" s="3" t="inlineStr">
        <is>
          <t>A function works but behaves wrongly, or there is an acceptable workaround.</t>
        </is>
      </c>
    </row>
    <row r="44" ht="16" customHeight="1">
      <c r="A44" s="2" t="inlineStr">
        <is>
          <t>Trivial</t>
        </is>
      </c>
      <c r="B44" s="3" t="inlineStr">
        <is>
          <t>Cosmetic: spacing, wording, colour, alignment.</t>
        </is>
      </c>
    </row>
    <row r="46" ht="24" customHeight="1">
      <c r="A46" s="4" t="inlineStr">
        <is>
          <t>RULES THAT MAKE THIS WORKBOOK WORTH KEEPING</t>
        </is>
      </c>
    </row>
    <row r="47" ht="30" customHeight="1">
      <c r="A47" s="2" t="inlineStr">
        <is>
          <t>Be reproducible</t>
        </is>
      </c>
      <c r="B47" s="3" t="inlineStr">
        <is>
          <t>Anyone must be able to read a row and reproduce your result exactly. If they cannot, the row is worthless.</t>
        </is>
      </c>
    </row>
    <row r="48" ht="16" customHeight="1">
      <c r="A48" s="2" t="inlineStr">
        <is>
          <t>One element, one row</t>
        </is>
      </c>
      <c r="B48" s="3" t="inlineStr">
        <is>
          <t>Never write 'tested the whole page'. That hides everything you did not check.</t>
        </is>
      </c>
    </row>
    <row r="49" ht="16" customHeight="1">
      <c r="A49" s="2" t="inlineStr">
        <is>
          <t>Never delete a row</t>
        </is>
      </c>
      <c r="B49" s="3" t="inlineStr">
        <is>
          <t>A test that no longer applies is marked N-A, not erased. History is the point.</t>
        </is>
      </c>
    </row>
    <row r="50" ht="30" customHeight="1">
      <c r="A50" s="2" t="inlineStr">
        <is>
          <t>Test as the user, not the author</t>
        </is>
      </c>
      <c r="B50" s="3" t="inlineStr">
        <is>
          <t>Write your Expected Result from the specification, not from your own code. Otherwise you only test what you remembered to build.</t>
        </is>
      </c>
    </row>
    <row r="51" ht="16" customHeight="1">
      <c r="A51" s="2" t="inlineStr">
        <is>
          <t>Record the build</t>
        </is>
      </c>
      <c r="B51" s="3" t="inlineStr">
        <is>
          <t>A result without a build number cannot be trusted a week later.</t>
        </is>
      </c>
    </row>
    <row r="53" ht="24" customHeight="1">
      <c r="A53" s="4" t="inlineStr">
        <is>
          <t>WHAT AUTOMATION ALREADY COVERS — DO NOT REDO IT BY HAND</t>
        </is>
      </c>
    </row>
    <row r="54" ht="16" customHeight="1">
      <c r="A54" s="2" t="inlineStr">
        <is>
          <t>Automated suites</t>
        </is>
      </c>
      <c r="B54" s="3" t="inlineStr">
        <is>
          <t>56 core tests, 11 server tests, 17 Playwright end-to-end journeys, all gating the deploy in CI.</t>
        </is>
      </c>
    </row>
    <row r="55" ht="30" customHeight="1">
      <c r="A55" s="2" t="inlineStr">
        <is>
          <t>Dead-button audit</t>
        </is>
      </c>
      <c r="B55" s="3" t="inlineStr">
        <is>
          <t>e2e/outil.audit-clics.mjs already clicks every button on every page for 3 roles and reports dead ones.</t>
        </is>
      </c>
    </row>
    <row r="56" ht="30" customHeight="1">
      <c r="A56" s="2" t="inlineStr">
        <is>
          <t>Spend your manual time on</t>
        </is>
      </c>
      <c r="B56" s="3" t="inlineStr">
        <is>
          <t>Does it look right · Does it read right in Arabic (RTL) · Is the business rule correct · Is the number correct · Does it make sense to a real school.</t>
        </is>
      </c>
    </row>
  </sheetData>
  <mergeCells count="8">
    <mergeCell ref="A7:B7"/>
    <mergeCell ref="A46:B46"/>
    <mergeCell ref="A1:B1"/>
    <mergeCell ref="A40:B40"/>
    <mergeCell ref="A18:B18"/>
    <mergeCell ref="A27:B27"/>
    <mergeCell ref="A53:B53"/>
    <mergeCell ref="A35:B35"/>
  </mergeCells>
  <pageMargins left="0.75" right="0.75" top="1" bottom="1" header="0.5" footer="0.5"/>
</worksheet>
</file>

<file path=xl/worksheets/sheet2.xml><?xml version="1.0" encoding="utf-8"?>
<worksheet xmlns="http://schemas.openxmlformats.org/spreadsheetml/2006/main">
  <sheetPr>
    <tabColor rgb="001F2A44"/>
    <outlinePr summaryBelow="1" summaryRight="1"/>
    <pageSetUpPr/>
  </sheetPr>
  <dimension ref="B2:F54"/>
  <sheetViews>
    <sheetView showGridLines="0" workbookViewId="0">
      <selection activeCell="A1" sqref="A1"/>
    </sheetView>
  </sheetViews>
  <sheetFormatPr baseColWidth="8" defaultRowHeight="15"/>
  <cols>
    <col width="4" customWidth="1" min="1" max="1"/>
    <col width="34" customWidth="1" min="2" max="2"/>
    <col width="16" customWidth="1" min="3" max="3"/>
    <col width="16" customWidth="1" min="4" max="4"/>
    <col width="16" customWidth="1" min="5" max="5"/>
    <col width="44" customWidth="1" min="6" max="6"/>
  </cols>
  <sheetData>
    <row r="2" ht="34" customHeight="1">
      <c r="B2" s="1" t="inlineStr">
        <is>
          <t>COREON EDU — QA DASHBOARD</t>
        </is>
      </c>
    </row>
    <row r="3">
      <c r="B3" s="6" t="inlineStr">
        <is>
          <t>Read-only — every number is calculated from the other sheets. Do not type in column C.</t>
        </is>
      </c>
    </row>
    <row r="5" ht="22" customHeight="1">
      <c r="B5" s="4" t="inlineStr">
        <is>
          <t>TEST EXECUTION</t>
        </is>
      </c>
    </row>
    <row r="6">
      <c r="B6" s="7" t="inlineStr">
        <is>
          <t>Test cases logged</t>
        </is>
      </c>
      <c r="C6" s="8">
        <f>COUNTA('Test Log'!A3:A600)</f>
        <v/>
      </c>
      <c r="F6" s="9" t="inlineStr">
        <is>
          <t>Rows filled in the Test Log</t>
        </is>
      </c>
    </row>
    <row r="7">
      <c r="B7" s="7" t="inlineStr">
        <is>
          <t>Executed</t>
        </is>
      </c>
      <c r="C7" s="8">
        <f>COUNTIFS('Test Log'!T3:T600,"PASS")+COUNTIFS('Test Log'!T3:T600,"FAIL")+COUNTIFS('Test Log'!T3:T600,"BLOCKED")</f>
        <v/>
      </c>
      <c r="F7" s="9" t="inlineStr">
        <is>
          <t>Pass + Fail + Blocked</t>
        </is>
      </c>
    </row>
    <row r="8">
      <c r="B8" s="7" t="inlineStr">
        <is>
          <t>Passed</t>
        </is>
      </c>
      <c r="C8" s="8">
        <f>COUNTIF('Test Log'!T3:T600,"PASS")</f>
        <v/>
      </c>
      <c r="F8" s="9" t="inlineStr"/>
    </row>
    <row r="9">
      <c r="B9" s="7" t="inlineStr">
        <is>
          <t>Failed</t>
        </is>
      </c>
      <c r="C9" s="8">
        <f>COUNTIF('Test Log'!T3:T600,"FAIL")</f>
        <v/>
      </c>
      <c r="F9" s="9" t="inlineStr"/>
    </row>
    <row r="10">
      <c r="B10" s="7" t="inlineStr">
        <is>
          <t>Blocked</t>
        </is>
      </c>
      <c r="C10" s="8">
        <f>COUNTIF('Test Log'!T3:T600,"BLOCKED")</f>
        <v/>
      </c>
      <c r="F10" s="9" t="inlineStr">
        <is>
          <t>Could not be tested — not the same as a failure</t>
        </is>
      </c>
    </row>
    <row r="11">
      <c r="B11" s="7" t="inlineStr">
        <is>
          <t>Not run</t>
        </is>
      </c>
      <c r="C11" s="8">
        <f>COUNTIF('Test Log'!T3:T600,"NOT RUN")</f>
        <v/>
      </c>
      <c r="F11" s="9" t="inlineStr"/>
    </row>
    <row r="12">
      <c r="B12" s="7" t="inlineStr">
        <is>
          <t>Pass rate</t>
        </is>
      </c>
      <c r="C12" s="10">
        <f>IF(C7=0,"",C8/C7)</f>
        <v/>
      </c>
      <c r="F12" s="9" t="inlineStr">
        <is>
          <t>Passed / executed</t>
        </is>
      </c>
    </row>
    <row r="13">
      <c r="B13" s="7" t="inlineStr">
        <is>
          <t>Execution progress</t>
        </is>
      </c>
      <c r="C13" s="10">
        <f>IF(C6=0,"",C7/C6)</f>
        <v/>
      </c>
      <c r="F13" s="9" t="inlineStr">
        <is>
          <t>Executed / logged</t>
        </is>
      </c>
    </row>
    <row r="15" ht="22" customHeight="1">
      <c r="B15" s="4" t="inlineStr">
        <is>
          <t>DEFECTS</t>
        </is>
      </c>
    </row>
    <row r="16">
      <c r="B16" s="7" t="inlineStr">
        <is>
          <t>Total defects</t>
        </is>
      </c>
      <c r="C16" s="8">
        <f>COUNTA('Defect Log'!A3:A400)</f>
        <v/>
      </c>
      <c r="F16" s="9" t="inlineStr"/>
    </row>
    <row r="17">
      <c r="B17" s="7" t="inlineStr">
        <is>
          <t>Open</t>
        </is>
      </c>
      <c r="C17" s="8">
        <f>COUNTA('Defect Log'!A3:A400)-COUNTIFS('Defect Log'!U3:U400,"CLOSED")-COUNTIFS('Defect Log'!U3:U400,"WON'T FIX")-COUNTIFS('Defect Log'!U3:U400,"DUPLICATE")-COUNTIFS('Defect Log'!U3:U400,"NOT A BUG")</f>
        <v/>
      </c>
      <c r="F17" s="9" t="inlineStr"/>
    </row>
    <row r="18">
      <c r="B18" s="7" t="inlineStr">
        <is>
          <t>Open Critical</t>
        </is>
      </c>
      <c r="C18" s="8">
        <f>COUNTIFS('Defect Log'!O3:O400,"Critical",'Defect Log'!U3:U400,"&lt;&gt;CLOSED")</f>
        <v/>
      </c>
      <c r="F18" s="9" t="inlineStr">
        <is>
          <t>MUST be 0 before any release</t>
        </is>
      </c>
    </row>
    <row r="19">
      <c r="B19" s="7" t="inlineStr">
        <is>
          <t>Open Major</t>
        </is>
      </c>
      <c r="C19" s="8">
        <f>COUNTIFS('Defect Log'!O3:O400,"Major",'Defect Log'!U3:U400,"&lt;&gt;CLOSED")</f>
        <v/>
      </c>
      <c r="F19" s="9" t="inlineStr"/>
    </row>
    <row r="20">
      <c r="B20" s="7" t="inlineStr">
        <is>
          <t>Open Minor</t>
        </is>
      </c>
      <c r="C20" s="8">
        <f>COUNTIFS('Defect Log'!O3:O400,"Minor",'Defect Log'!U3:U400,"&lt;&gt;CLOSED")</f>
        <v/>
      </c>
      <c r="F20" s="9" t="inlineStr"/>
    </row>
    <row r="21">
      <c r="B21" s="7" t="inlineStr">
        <is>
          <t>Open Trivial</t>
        </is>
      </c>
      <c r="C21" s="8">
        <f>COUNTIFS('Defect Log'!O3:O400,"Trivial",'Defect Log'!U3:U400,"&lt;&gt;CLOSED")</f>
        <v/>
      </c>
      <c r="F21" s="9" t="inlineStr"/>
    </row>
    <row r="22">
      <c r="B22" s="7" t="inlineStr">
        <is>
          <t>P1 outstanding</t>
        </is>
      </c>
      <c r="C22" s="8">
        <f>COUNTIFS('Defect Log'!P3:P400,"P1 - Immediate",'Defect Log'!U3:U400,"&lt;&gt;CLOSED")</f>
        <v/>
      </c>
      <c r="F22" s="9" t="inlineStr"/>
    </row>
    <row r="23">
      <c r="B23" s="7" t="inlineStr">
        <is>
          <t>Awaiting retest</t>
        </is>
      </c>
      <c r="C23" s="8">
        <f>COUNTIF('Defect Log'!U3:U400,"READY TO RETEST")</f>
        <v/>
      </c>
      <c r="F23" s="9" t="inlineStr"/>
    </row>
    <row r="24">
      <c r="B24" s="7" t="inlineStr">
        <is>
          <t>Reopened</t>
        </is>
      </c>
      <c r="C24" s="8">
        <f>COUNTIF('Defect Log'!U3:U400,"REOPENED")</f>
        <v/>
      </c>
      <c r="F24" s="9" t="inlineStr">
        <is>
          <t>High reopen count = fixes are not verified</t>
        </is>
      </c>
    </row>
    <row r="26" ht="22" customHeight="1">
      <c r="B26" s="4" t="inlineStr">
        <is>
          <t>MODULE COVERAGE</t>
        </is>
      </c>
    </row>
    <row r="27">
      <c r="B27" s="7" t="inlineStr">
        <is>
          <t>Modules total</t>
        </is>
      </c>
      <c r="C27" s="8">
        <f>COUNTA(Modules!B3:B60)</f>
        <v/>
      </c>
      <c r="F27" s="9" t="inlineStr"/>
    </row>
    <row r="28">
      <c r="B28" s="7" t="inlineStr">
        <is>
          <t>Complete</t>
        </is>
      </c>
      <c r="C28" s="8">
        <f>COUNTIF(Modules!G3:G60,"Complete")</f>
        <v/>
      </c>
      <c r="F28" s="9" t="inlineStr"/>
    </row>
    <row r="29">
      <c r="B29" s="7" t="inlineStr">
        <is>
          <t>In progress</t>
        </is>
      </c>
      <c r="C29" s="8">
        <f>COUNTIF(Modules!G3:G60,"In progress")</f>
        <v/>
      </c>
      <c r="F29" s="9" t="inlineStr"/>
    </row>
    <row r="30">
      <c r="B30" s="7" t="inlineStr">
        <is>
          <t>Not started</t>
        </is>
      </c>
      <c r="C30" s="8">
        <f>COUNTIF(Modules!G3:G60,"Not started")</f>
        <v/>
      </c>
      <c r="F30" s="9" t="inlineStr"/>
    </row>
    <row r="31">
      <c r="B31" s="7" t="inlineStr">
        <is>
          <t>Blocked</t>
        </is>
      </c>
      <c r="C31" s="8">
        <f>COUNTIF(Modules!G3:G60,"Blocked")</f>
        <v/>
      </c>
      <c r="F31" s="9" t="inlineStr"/>
    </row>
    <row r="32">
      <c r="B32" s="7" t="inlineStr">
        <is>
          <t>Modules complete %</t>
        </is>
      </c>
      <c r="C32" s="10">
        <f>IF(C27=0,"",C28/C27)</f>
        <v/>
      </c>
      <c r="F32" s="9" t="inlineStr"/>
    </row>
    <row r="33">
      <c r="B33" s="7" t="inlineStr">
        <is>
          <t>Elements identified</t>
        </is>
      </c>
      <c r="C33" s="8">
        <f>SUM(Modules!H3:H60)</f>
        <v/>
      </c>
      <c r="F33" s="9" t="inlineStr"/>
    </row>
    <row r="34">
      <c r="B34" s="7" t="inlineStr">
        <is>
          <t>Elements tested</t>
        </is>
      </c>
      <c r="C34" s="8">
        <f>SUM(Modules!I3:I60)</f>
        <v/>
      </c>
      <c r="F34" s="9" t="inlineStr"/>
    </row>
    <row r="35">
      <c r="B35" s="7" t="inlineStr">
        <is>
          <t>Element coverage %</t>
        </is>
      </c>
      <c r="C35" s="10">
        <f>IF(C33=0,"",C34/C33)</f>
        <v/>
      </c>
      <c r="F35" s="9" t="inlineStr">
        <is>
          <t>The real 'have I clicked everything' number</t>
        </is>
      </c>
    </row>
    <row r="37" ht="22" customHeight="1">
      <c r="B37" s="4" t="inlineStr">
        <is>
          <t>EXIT CRITERIA — may we release?</t>
        </is>
      </c>
    </row>
    <row r="38">
      <c r="B38" s="7" t="inlineStr">
        <is>
          <t>No test case left Not Run</t>
        </is>
      </c>
      <c r="C38" s="11">
        <f>IF(C11=0,"MET","NOT MET")</f>
        <v/>
      </c>
    </row>
    <row r="39">
      <c r="B39" s="7" t="inlineStr">
        <is>
          <t>Zero open Critical defects</t>
        </is>
      </c>
      <c r="C39" s="11">
        <f>IF(C18=0,"MET","NOT MET")</f>
        <v/>
      </c>
    </row>
    <row r="40">
      <c r="B40" s="7" t="inlineStr">
        <is>
          <t>Zero open P1 defects</t>
        </is>
      </c>
      <c r="C40" s="11">
        <f>IF(C22=0,"MET","NOT MET")</f>
        <v/>
      </c>
    </row>
    <row r="41">
      <c r="B41" s="7" t="inlineStr">
        <is>
          <t>Pass rate at or above 95%</t>
        </is>
      </c>
      <c r="C41" s="11">
        <f>IF(N(C12)&gt;=0.95,"MET","NOT MET")</f>
        <v/>
      </c>
    </row>
    <row r="42">
      <c r="B42" s="7" t="inlineStr">
        <is>
          <t>All modules Complete or Out of scope</t>
        </is>
      </c>
      <c r="C42" s="11">
        <f>IF(C30+C29+C31=0,"MET","NOT MET")</f>
        <v/>
      </c>
    </row>
    <row r="43">
      <c r="B43" s="7" t="inlineStr">
        <is>
          <t>Every fixed defect retested</t>
        </is>
      </c>
      <c r="C43" s="11">
        <f>IF(C23=0,"MET","NOT MET")</f>
        <v/>
      </c>
    </row>
    <row r="45" ht="22" customHeight="1">
      <c r="B45" s="12" t="inlineStr">
        <is>
          <t>VERDICT:  release only when every line above says MET.  If you override it, write down who decided and why — in Test Cycles.</t>
        </is>
      </c>
    </row>
    <row r="47" ht="22" customHeight="1">
      <c r="B47" s="4" t="inlineStr">
        <is>
          <t>CHANGE REQUESTS</t>
        </is>
      </c>
    </row>
    <row r="48">
      <c r="B48" s="7" t="inlineStr">
        <is>
          <t>Total change requests</t>
        </is>
      </c>
      <c r="C48" s="8">
        <f>COUNTA('Change Requests'!A3:A250)</f>
        <v/>
      </c>
      <c r="F48" s="9" t="inlineStr"/>
    </row>
    <row r="49">
      <c r="B49" s="7" t="inlineStr">
        <is>
          <t>P1 outstanding</t>
        </is>
      </c>
      <c r="C49" s="8">
        <f>COUNTIFS('Change Requests'!M3:M250,"P1 - Immediate",'Change Requests'!O3:O250,"&lt;&gt;DONE")</f>
        <v/>
      </c>
      <c r="F49" s="9" t="inlineStr"/>
    </row>
    <row r="50">
      <c r="B50" s="7" t="inlineStr">
        <is>
          <t>Epics</t>
        </is>
      </c>
      <c r="C50" s="8">
        <f>COUNTIF('Change Requests'!E3:E250,"Epic")</f>
        <v/>
      </c>
      <c r="F50" s="9" t="inlineStr">
        <is>
          <t>Big items that must be broken down further</t>
        </is>
      </c>
    </row>
    <row r="51">
      <c r="B51" s="7" t="inlineStr">
        <is>
          <t>Research items</t>
        </is>
      </c>
      <c r="C51" s="8">
        <f>COUNTIF('Change Requests'!E3:E250,"Research")</f>
        <v/>
      </c>
      <c r="F51" s="9" t="inlineStr">
        <is>
          <t>Must be answered before their children can start</t>
        </is>
      </c>
    </row>
    <row r="52">
      <c r="B52" s="7" t="inlineStr">
        <is>
          <t>New features</t>
        </is>
      </c>
      <c r="C52" s="8">
        <f>COUNTIF('Change Requests'!E3:E250,"New feature")</f>
        <v/>
      </c>
      <c r="F52" s="9" t="inlineStr"/>
    </row>
    <row r="53">
      <c r="B53" s="7" t="inlineStr">
        <is>
          <t>Done</t>
        </is>
      </c>
      <c r="C53" s="8">
        <f>COUNTIF('Change Requests'!O3:O250,"DONE")</f>
        <v/>
      </c>
      <c r="F53" s="9" t="inlineStr"/>
    </row>
    <row r="54">
      <c r="B54" s="7" t="inlineStr">
        <is>
          <t>Completion</t>
        </is>
      </c>
      <c r="C54" s="10">
        <f>IF(C48=0,"",C53/C48)</f>
        <v/>
      </c>
      <c r="F54" s="9" t="inlineStr"/>
    </row>
  </sheetData>
  <mergeCells count="7">
    <mergeCell ref="B47:F47"/>
    <mergeCell ref="B2:F2"/>
    <mergeCell ref="B15:F15"/>
    <mergeCell ref="B5:F5"/>
    <mergeCell ref="B37:F37"/>
    <mergeCell ref="B45:F45"/>
    <mergeCell ref="B26:F26"/>
  </mergeCells>
  <conditionalFormatting sqref="C38:C43">
    <cfRule type="cellIs" priority="1" operator="equal" dxfId="0">
      <formula>"MET"</formula>
    </cfRule>
    <cfRule type="cellIs" priority="2" operator="equal" dxfId="1">
      <formula>"NOT MET"</formula>
    </cfRule>
  </conditionalFormatting>
  <pageMargins left="0.75" right="0.75" top="1" bottom="1" header="0.5" footer="0.5"/>
</worksheet>
</file>

<file path=xl/worksheets/sheet3.xml><?xml version="1.0" encoding="utf-8"?>
<worksheet xmlns="http://schemas.openxmlformats.org/spreadsheetml/2006/main">
  <sheetPr>
    <tabColor rgb="007539E4"/>
    <outlinePr summaryBelow="1" summaryRight="1"/>
    <pageSetUpPr/>
  </sheetPr>
  <dimension ref="A1:AA600"/>
  <sheetViews>
    <sheetView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1" customWidth="1" min="2" max="2"/>
    <col width="12" customWidth="1" min="3" max="3"/>
    <col width="15" customWidth="1" min="4" max="4"/>
    <col width="14" customWidth="1" min="5" max="5"/>
    <col width="17" customWidth="1" min="6" max="6"/>
    <col width="18" customWidth="1" min="7" max="7"/>
    <col width="16" customWidth="1" min="8" max="8"/>
    <col width="18" customWidth="1" min="9" max="9"/>
    <col width="22" customWidth="1" min="10" max="10"/>
    <col width="15" customWidth="1" min="11" max="11"/>
    <col width="30" customWidth="1" min="12" max="12"/>
    <col width="14" customWidth="1" min="13" max="13"/>
    <col width="34" customWidth="1" min="14" max="14"/>
    <col width="26" customWidth="1" min="15" max="15"/>
    <col width="40" customWidth="1" min="16" max="16"/>
    <col width="20" customWidth="1" min="17" max="17"/>
    <col width="38" customWidth="1" min="18" max="18"/>
    <col width="38" customWidth="1" min="19" max="19"/>
    <col width="11" customWidth="1" min="20" max="20"/>
    <col width="11" customWidth="1" min="21" max="21"/>
    <col width="15" customWidth="1" min="22" max="22"/>
    <col width="11" customWidth="1" min="23" max="23"/>
    <col width="24" customWidth="1" min="24" max="24"/>
    <col width="13" customWidth="1" min="25" max="25"/>
    <col width="11" customWidth="1" min="26" max="26"/>
    <col width="26" customWidth="1" min="27" max="27"/>
  </cols>
  <sheetData>
    <row r="1" ht="26" customHeight="1">
      <c r="A1" s="13" t="inlineStr">
        <is>
          <t>TEST LOG — one row per element tested.  Fill Expected result BEFORE you click.  Every FAIL needs a Defect ID.</t>
        </is>
      </c>
    </row>
    <row r="2" ht="42" customHeight="1">
      <c r="A2" s="14" t="inlineStr">
        <is>
          <t>Test ID</t>
        </is>
      </c>
      <c r="B2" s="14" t="inlineStr">
        <is>
          <t>Date</t>
        </is>
      </c>
      <c r="C2" s="14" t="inlineStr">
        <is>
          <t>Tester</t>
        </is>
      </c>
      <c r="D2" s="14" t="inlineStr">
        <is>
          <t>Build / Commit</t>
        </is>
      </c>
      <c r="E2" s="14" t="inlineStr">
        <is>
          <t>Environment</t>
        </is>
      </c>
      <c r="F2" s="14" t="inlineStr">
        <is>
          <t>Browser / Device</t>
        </is>
      </c>
      <c r="G2" s="14" t="inlineStr">
        <is>
          <t>Module / Feature</t>
        </is>
      </c>
      <c r="H2" s="14" t="inlineStr">
        <is>
          <t>Sub-module</t>
        </is>
      </c>
      <c r="I2" s="14" t="inlineStr">
        <is>
          <t>Screen / Page</t>
        </is>
      </c>
      <c r="J2" s="14" t="inlineStr">
        <is>
          <t>Route (URL)</t>
        </is>
      </c>
      <c r="K2" s="14" t="inlineStr">
        <is>
          <t>Element type</t>
        </is>
      </c>
      <c r="L2" s="14" t="inlineStr">
        <is>
          <t>Element name (label on screen)</t>
        </is>
      </c>
      <c r="M2" s="14" t="inlineStr">
        <is>
          <t>Role under test</t>
        </is>
      </c>
      <c r="N2" s="14" t="inlineStr">
        <is>
          <t>Test title</t>
        </is>
      </c>
      <c r="O2" s="14" t="inlineStr">
        <is>
          <t>Preconditions</t>
        </is>
      </c>
      <c r="P2" s="14" t="inlineStr">
        <is>
          <t>Test steps</t>
        </is>
      </c>
      <c r="Q2" s="14" t="inlineStr">
        <is>
          <t>Test data</t>
        </is>
      </c>
      <c r="R2" s="14" t="inlineStr">
        <is>
          <t>Expected result</t>
        </is>
      </c>
      <c r="S2" s="14" t="inlineStr">
        <is>
          <t>Actual result</t>
        </is>
      </c>
      <c r="T2" s="14" t="inlineStr">
        <is>
          <t>Status</t>
        </is>
      </c>
      <c r="U2" s="14" t="inlineStr">
        <is>
          <t>Severity</t>
        </is>
      </c>
      <c r="V2" s="14" t="inlineStr">
        <is>
          <t>Priority</t>
        </is>
      </c>
      <c r="W2" s="14" t="inlineStr">
        <is>
          <t>Defect ID</t>
        </is>
      </c>
      <c r="X2" s="14" t="inlineStr">
        <is>
          <t>Evidence (screenshot / file)</t>
        </is>
      </c>
      <c r="Y2" s="14" t="inlineStr">
        <is>
          <t>Retest</t>
        </is>
      </c>
      <c r="Z2" s="14" t="inlineStr">
        <is>
          <t>Retest date</t>
        </is>
      </c>
      <c r="AA2" s="14" t="inlineStr">
        <is>
          <t>Comments</t>
        </is>
      </c>
    </row>
    <row r="3" ht="76" customHeight="1">
      <c r="A3" s="15" t="inlineStr">
        <is>
          <t>TC-001</t>
        </is>
      </c>
      <c r="B3" s="15">
        <f>TODAY()</f>
        <v/>
      </c>
      <c r="C3" s="15" t="inlineStr">
        <is>
          <t>Othman</t>
        </is>
      </c>
      <c r="D3" s="15" t="inlineStr">
        <is>
          <t>50d4c48</t>
        </is>
      </c>
      <c r="E3" s="15" t="inlineStr">
        <is>
          <t>Local dev</t>
        </is>
      </c>
      <c r="F3" s="15" t="inlineStr">
        <is>
          <t>Desktop Chrome</t>
        </is>
      </c>
      <c r="G3" s="15" t="inlineStr">
        <is>
          <t>Authentication</t>
        </is>
      </c>
      <c r="H3" s="15" t="inlineStr">
        <is>
          <t>Login</t>
        </is>
      </c>
      <c r="I3" s="15" t="inlineStr">
        <is>
          <t>Login</t>
        </is>
      </c>
      <c r="J3" s="15" t="inlineStr">
        <is>
          <t>#/login</t>
        </is>
      </c>
      <c r="K3" s="15" t="inlineStr">
        <is>
          <t>Form submit</t>
        </is>
      </c>
      <c r="L3" s="15" t="inlineStr">
        <is>
          <t>Se connecter (submit button)</t>
        </is>
      </c>
      <c r="M3" s="15" t="inlineStr">
        <is>
          <t>not logged in</t>
        </is>
      </c>
      <c r="N3" s="15" t="inlineStr">
        <is>
          <t>Login is refused with a wrong password</t>
        </is>
      </c>
      <c r="O3" s="15" t="inlineStr">
        <is>
          <t>App is open at #/login. Demo data seeded.</t>
        </is>
      </c>
      <c r="P3" s="15" t="inlineStr">
        <is>
          <t>1. Type parent@alnour.tn in E-mail
2. Type wrongpass in Mot de passe
3. Click Se connecter</t>
        </is>
      </c>
      <c r="Q3" s="15" t="inlineStr">
        <is>
          <t>parent@alnour.tn / wrongpass</t>
        </is>
      </c>
      <c r="R3" s="15" t="inlineStr">
        <is>
          <t>Error message 'E-mail ou mot de passe incorrect.' is shown. User stays on #/login. No session created.</t>
        </is>
      </c>
      <c r="S3" s="15" t="inlineStr"/>
      <c r="T3" s="15" t="inlineStr">
        <is>
          <t>NOT RUN</t>
        </is>
      </c>
      <c r="U3" s="15" t="inlineStr"/>
      <c r="V3" s="15" t="inlineStr"/>
      <c r="W3" s="15" t="inlineStr"/>
      <c r="X3" s="15" t="inlineStr"/>
      <c r="Y3" s="15" t="inlineStr">
        <is>
          <t>Not retested</t>
        </is>
      </c>
      <c r="Z3" s="15" t="inlineStr"/>
      <c r="AA3" s="15" t="inlineStr">
        <is>
          <t>Example row — delete or overwrite</t>
        </is>
      </c>
    </row>
    <row r="4" ht="76" customHeight="1">
      <c r="A4" s="15" t="inlineStr">
        <is>
          <t>TC-002</t>
        </is>
      </c>
      <c r="B4" s="15">
        <f>TODAY()</f>
        <v/>
      </c>
      <c r="C4" s="15" t="inlineStr">
        <is>
          <t>Othman</t>
        </is>
      </c>
      <c r="D4" s="15" t="inlineStr">
        <is>
          <t>50d4c48</t>
        </is>
      </c>
      <c r="E4" s="15" t="inlineStr">
        <is>
          <t>Local dev</t>
        </is>
      </c>
      <c r="F4" s="15" t="inlineStr">
        <is>
          <t>Mobile Chrome 390px</t>
        </is>
      </c>
      <c r="G4" s="15" t="inlineStr">
        <is>
          <t>Évaluation</t>
        </is>
      </c>
      <c r="H4" s="15" t="inlineStr">
        <is>
          <t>Save step</t>
        </is>
      </c>
      <c r="I4" s="15" t="inlineStr">
        <is>
          <t>Evaluate</t>
        </is>
      </c>
      <c r="J4" s="15" t="inlineStr">
        <is>
          <t>#/app/evaluate</t>
        </is>
      </c>
      <c r="K4" s="15" t="inlineStr">
        <is>
          <t>Button</t>
        </is>
      </c>
      <c r="L4" s="15" t="inlineStr">
        <is>
          <t>Enregistrer</t>
        </is>
      </c>
      <c r="M4" s="15" t="inlineStr">
        <is>
          <t>teacher</t>
        </is>
      </c>
      <c r="N4" s="15" t="inlineStr">
        <is>
          <t>Saving with zero students placed is blocked</t>
        </is>
      </c>
      <c r="O4" s="15" t="inlineStr">
        <is>
          <t>Logged in as enseignant@alnour.tn. A slot is selected. No student dragged into any bucket.</t>
        </is>
      </c>
      <c r="P4" s="15" t="inlineStr">
        <is>
          <t>1. Open #/app/evaluate
2. Select the live slot
3. Place no student
4. Click Enregistrer</t>
        </is>
      </c>
      <c r="Q4" s="15" t="inlineStr">
        <is>
          <t>Class CP-A, no placements</t>
        </is>
      </c>
      <c r="R4" s="15" t="inlineStr">
        <is>
          <t>An error toast appears, nothing is saved, no parent notification is sent, the button stays enabled.</t>
        </is>
      </c>
      <c r="S4" s="15" t="inlineStr"/>
      <c r="T4" s="15" t="inlineStr">
        <is>
          <t>NOT RUN</t>
        </is>
      </c>
      <c r="U4" s="15" t="inlineStr"/>
      <c r="V4" s="15" t="inlineStr"/>
      <c r="W4" s="15" t="inlineStr"/>
      <c r="X4" s="15" t="inlineStr"/>
      <c r="Y4" s="15" t="inlineStr">
        <is>
          <t>Not retested</t>
        </is>
      </c>
      <c r="Z4" s="15" t="inlineStr"/>
      <c r="AA4" s="15" t="inlineStr">
        <is>
          <t>Example row — delete or overwrite</t>
        </is>
      </c>
    </row>
    <row r="5">
      <c r="A5" s="16" t="n"/>
      <c r="B5" s="16" t="n"/>
      <c r="C5" s="16" t="n"/>
      <c r="D5" s="16" t="n"/>
      <c r="E5" s="16" t="n"/>
      <c r="F5" s="16" t="n"/>
      <c r="G5" s="16" t="n"/>
      <c r="H5" s="16" t="n"/>
      <c r="I5" s="16" t="n"/>
      <c r="J5" s="16" t="n"/>
      <c r="K5" s="16" t="n"/>
      <c r="L5" s="16" t="n"/>
      <c r="M5" s="16" t="n"/>
      <c r="N5" s="16" t="n"/>
      <c r="O5" s="16" t="n"/>
      <c r="P5" s="16" t="n"/>
      <c r="Q5" s="16" t="n"/>
      <c r="R5" s="16" t="n"/>
      <c r="S5" s="16" t="n"/>
      <c r="T5" s="16" t="n"/>
      <c r="U5" s="16" t="n"/>
      <c r="V5" s="16" t="n"/>
      <c r="W5" s="16" t="n"/>
      <c r="X5" s="16" t="n"/>
      <c r="Y5" s="16" t="n"/>
      <c r="Z5" s="16" t="n"/>
      <c r="AA5" s="16" t="n"/>
    </row>
    <row r="6">
      <c r="A6" s="16" t="n"/>
      <c r="B6" s="16" t="n"/>
      <c r="C6" s="16" t="n"/>
      <c r="D6" s="16" t="n"/>
      <c r="E6" s="16" t="n"/>
      <c r="F6" s="16" t="n"/>
      <c r="G6" s="16" t="n"/>
      <c r="H6" s="16" t="n"/>
      <c r="I6" s="16" t="n"/>
      <c r="J6" s="16" t="n"/>
      <c r="K6" s="16" t="n"/>
      <c r="L6" s="16" t="n"/>
      <c r="M6" s="16" t="n"/>
      <c r="N6" s="16" t="n"/>
      <c r="O6" s="16" t="n"/>
      <c r="P6" s="16" t="n"/>
      <c r="Q6" s="16" t="n"/>
      <c r="R6" s="16" t="n"/>
      <c r="S6" s="16" t="n"/>
      <c r="T6" s="16" t="n"/>
      <c r="U6" s="16" t="n"/>
      <c r="V6" s="16" t="n"/>
      <c r="W6" s="16" t="n"/>
      <c r="X6" s="16" t="n"/>
      <c r="Y6" s="16" t="n"/>
      <c r="Z6" s="16" t="n"/>
      <c r="AA6" s="16" t="n"/>
    </row>
    <row r="7">
      <c r="A7" s="16" t="n"/>
      <c r="B7" s="16" t="n"/>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c r="AA7" s="16" t="n"/>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c r="AA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c r="AA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c r="AA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c r="AA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c r="AA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c r="AA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c r="AA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c r="AA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c r="AA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c r="AA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c r="AA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c r="AA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c r="AA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c r="AA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c r="AA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c r="AA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c r="AA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c r="AA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c r="AA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c r="AA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c r="AA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c r="AA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c r="AA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c r="AA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c r="AA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c r="AA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c r="AA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c r="AA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c r="AA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c r="AA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c r="AA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c r="AA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c r="AA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c r="AA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c r="AA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c r="AA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c r="AA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c r="AA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c r="AA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c r="AA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c r="AA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c r="AA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c r="AA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c r="AA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c r="AA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c r="AA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c r="AA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c r="AA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c r="AA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c r="AA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c r="AA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c r="AA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c r="AA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c r="AA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c r="AA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c r="AA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c r="AA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c r="AA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c r="AA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c r="AA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c r="AA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c r="AA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c r="AA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c r="AA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c r="AA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c r="AA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c r="AA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c r="AA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c r="AA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c r="AA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c r="AA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c r="AA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c r="AA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c r="AA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c r="AA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c r="AA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c r="AA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c r="AA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c r="AA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c r="AA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c r="AA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c r="AA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c r="AA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c r="AA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c r="AA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c r="AA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c r="AA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c r="AA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c r="AA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c r="AA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c r="AA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c r="AA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c r="AA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c r="AA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c r="AA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c r="AA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c r="AA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c r="AA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c r="AA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c r="AA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c r="AA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c r="AA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c r="AA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c r="AA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c r="AA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c r="AA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c r="AA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c r="AA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c r="AA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c r="AA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c r="AA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c r="AA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c r="AA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c r="AA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c r="AA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c r="AA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c r="AA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c r="AA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row>
    <row r="145">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row>
    <row r="14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c r="AA146" s="16" t="n"/>
    </row>
    <row r="147">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c r="AA147" s="16" t="n"/>
    </row>
    <row r="148">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c r="AA148" s="16" t="n"/>
    </row>
    <row r="149">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c r="AA149" s="16" t="n"/>
    </row>
    <row r="150">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c r="AA150" s="16" t="n"/>
    </row>
    <row r="15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row>
    <row r="152">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c r="AA152" s="16" t="n"/>
    </row>
    <row r="153">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c r="AA153" s="16" t="n"/>
    </row>
    <row r="154">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c r="AA154" s="16" t="n"/>
    </row>
    <row r="155">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c r="AA155" s="16" t="n"/>
    </row>
    <row r="15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c r="AA156" s="16" t="n"/>
    </row>
    <row r="157">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row>
    <row r="158">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c r="AA158" s="16" t="n"/>
    </row>
    <row r="159">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c r="AA159" s="16" t="n"/>
    </row>
    <row r="160">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c r="AA160" s="16" t="n"/>
    </row>
    <row r="16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c r="AA161" s="16" t="n"/>
    </row>
    <row r="162">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c r="AA162" s="16" t="n"/>
    </row>
    <row r="163">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row>
    <row r="164">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c r="AA164" s="16" t="n"/>
    </row>
    <row r="165">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c r="AA165" s="16" t="n"/>
    </row>
    <row r="16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c r="AA166" s="16" t="n"/>
    </row>
    <row r="16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c r="AA167" s="16" t="n"/>
    </row>
    <row r="168">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c r="AA168" s="16" t="n"/>
    </row>
    <row r="169">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row>
    <row r="170">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c r="AA170" s="16" t="n"/>
    </row>
    <row r="17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c r="AA171" s="16" t="n"/>
    </row>
    <row r="172">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c r="AA172" s="16" t="n"/>
    </row>
    <row r="173">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c r="AA173" s="16" t="n"/>
    </row>
    <row r="174">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c r="AA174" s="16" t="n"/>
    </row>
    <row r="175">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row>
    <row r="17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c r="AA176" s="16" t="n"/>
    </row>
    <row r="177">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c r="AA177" s="16" t="n"/>
    </row>
    <row r="178">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c r="AA178" s="16" t="n"/>
    </row>
    <row r="179">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c r="AA179" s="16" t="n"/>
    </row>
    <row r="180">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c r="AA180" s="16" t="n"/>
    </row>
    <row r="181">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row>
    <row r="182">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c r="AA182" s="16" t="n"/>
    </row>
    <row r="183">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c r="AA183" s="16" t="n"/>
    </row>
    <row r="184">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row>
    <row r="185">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c r="AA185" s="16" t="n"/>
    </row>
    <row r="18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c r="AA186" s="16" t="n"/>
    </row>
    <row r="187">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c r="AA187" s="16" t="n"/>
    </row>
    <row r="188">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c r="AA188" s="16" t="n"/>
    </row>
    <row r="189">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c r="AA189" s="16" t="n"/>
    </row>
    <row r="190">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c r="AA190" s="16" t="n"/>
    </row>
    <row r="191">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c r="AA191" s="16" t="n"/>
    </row>
    <row r="192">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c r="AA192" s="16" t="n"/>
    </row>
    <row r="193">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c r="AA193" s="16" t="n"/>
    </row>
    <row r="194">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c r="AA194" s="16" t="n"/>
    </row>
    <row r="195">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c r="AA195" s="16" t="n"/>
    </row>
    <row r="19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c r="AA196" s="16" t="n"/>
    </row>
    <row r="197">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c r="AA197" s="16" t="n"/>
    </row>
    <row r="198">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c r="AA198" s="16" t="n"/>
    </row>
    <row r="199">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c r="AA199" s="16" t="n"/>
    </row>
    <row r="200">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c r="AA200" s="16" t="n"/>
    </row>
    <row r="201">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c r="AA201" s="16" t="n"/>
    </row>
    <row r="202">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c r="AA202" s="16" t="n"/>
    </row>
    <row r="203">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c r="AA203" s="16" t="n"/>
    </row>
    <row r="204">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row>
    <row r="205">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c r="AA205" s="16" t="n"/>
    </row>
    <row r="20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c r="AA206" s="16" t="n"/>
    </row>
    <row r="207">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c r="AA207" s="16" t="n"/>
    </row>
    <row r="208">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c r="AA208" s="16" t="n"/>
    </row>
    <row r="209">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c r="AA209" s="16" t="n"/>
    </row>
    <row r="210">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c r="AA210" s="16" t="n"/>
    </row>
    <row r="211">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c r="AA211" s="16" t="n"/>
    </row>
    <row r="212">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c r="AA212" s="16" t="n"/>
    </row>
    <row r="213">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c r="AA213" s="16" t="n"/>
    </row>
    <row r="214">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c r="AA214" s="16" t="n"/>
    </row>
    <row r="215">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c r="AA215" s="16" t="n"/>
    </row>
    <row r="21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c r="AA216" s="16" t="n"/>
    </row>
    <row r="217">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c r="AA217" s="16" t="n"/>
    </row>
    <row r="218">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c r="AA218" s="16" t="n"/>
    </row>
    <row r="219">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c r="AA219" s="16" t="n"/>
    </row>
    <row r="220">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c r="AA220" s="16" t="n"/>
    </row>
    <row r="221">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c r="AA221" s="16" t="n"/>
    </row>
    <row r="222">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c r="AA222" s="16" t="n"/>
    </row>
    <row r="223">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c r="AA223" s="16" t="n"/>
    </row>
    <row r="224">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row>
    <row r="225">
      <c r="A225" s="16" t="n"/>
      <c r="B225" s="16" t="n"/>
      <c r="C225" s="16" t="n"/>
      <c r="D225" s="16" t="n"/>
      <c r="E225" s="16" t="n"/>
      <c r="F225" s="16" t="n"/>
      <c r="G225" s="16" t="n"/>
      <c r="H225" s="16" t="n"/>
      <c r="I225" s="16" t="n"/>
      <c r="J225" s="16" t="n"/>
      <c r="K225" s="16" t="n"/>
      <c r="L225" s="16" t="n"/>
      <c r="M225" s="16" t="n"/>
      <c r="N225" s="16" t="n"/>
      <c r="O225" s="16" t="n"/>
      <c r="P225" s="16" t="n"/>
      <c r="Q225" s="16" t="n"/>
      <c r="R225" s="16" t="n"/>
      <c r="S225" s="16" t="n"/>
      <c r="T225" s="16" t="n"/>
      <c r="U225" s="16" t="n"/>
      <c r="V225" s="16" t="n"/>
      <c r="W225" s="16" t="n"/>
      <c r="X225" s="16" t="n"/>
      <c r="Y225" s="16" t="n"/>
      <c r="Z225" s="16" t="n"/>
      <c r="AA225" s="16" t="n"/>
    </row>
    <row r="226">
      <c r="A226" s="16" t="n"/>
      <c r="B226" s="16" t="n"/>
      <c r="C226" s="16" t="n"/>
      <c r="D226" s="16" t="n"/>
      <c r="E226" s="16" t="n"/>
      <c r="F226" s="16" t="n"/>
      <c r="G226" s="16" t="n"/>
      <c r="H226" s="16" t="n"/>
      <c r="I226" s="16" t="n"/>
      <c r="J226" s="16" t="n"/>
      <c r="K226" s="16" t="n"/>
      <c r="L226" s="16" t="n"/>
      <c r="M226" s="16" t="n"/>
      <c r="N226" s="16" t="n"/>
      <c r="O226" s="16" t="n"/>
      <c r="P226" s="16" t="n"/>
      <c r="Q226" s="16" t="n"/>
      <c r="R226" s="16" t="n"/>
      <c r="S226" s="16" t="n"/>
      <c r="T226" s="16" t="n"/>
      <c r="U226" s="16" t="n"/>
      <c r="V226" s="16" t="n"/>
      <c r="W226" s="16" t="n"/>
      <c r="X226" s="16" t="n"/>
      <c r="Y226" s="16" t="n"/>
      <c r="Z226" s="16" t="n"/>
      <c r="AA226" s="16" t="n"/>
    </row>
    <row r="227">
      <c r="A227" s="16" t="n"/>
      <c r="B227" s="16" t="n"/>
      <c r="C227" s="16" t="n"/>
      <c r="D227" s="16" t="n"/>
      <c r="E227" s="16" t="n"/>
      <c r="F227" s="16" t="n"/>
      <c r="G227" s="16" t="n"/>
      <c r="H227" s="16" t="n"/>
      <c r="I227" s="16" t="n"/>
      <c r="J227" s="16" t="n"/>
      <c r="K227" s="16" t="n"/>
      <c r="L227" s="16" t="n"/>
      <c r="M227" s="16" t="n"/>
      <c r="N227" s="16" t="n"/>
      <c r="O227" s="16" t="n"/>
      <c r="P227" s="16" t="n"/>
      <c r="Q227" s="16" t="n"/>
      <c r="R227" s="16" t="n"/>
      <c r="S227" s="16" t="n"/>
      <c r="T227" s="16" t="n"/>
      <c r="U227" s="16" t="n"/>
      <c r="V227" s="16" t="n"/>
      <c r="W227" s="16" t="n"/>
      <c r="X227" s="16" t="n"/>
      <c r="Y227" s="16" t="n"/>
      <c r="Z227" s="16" t="n"/>
      <c r="AA227" s="16" t="n"/>
    </row>
    <row r="228">
      <c r="A228" s="16" t="n"/>
      <c r="B228" s="16" t="n"/>
      <c r="C228" s="16" t="n"/>
      <c r="D228" s="16" t="n"/>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c r="AA228" s="16" t="n"/>
    </row>
    <row r="229">
      <c r="A229" s="16" t="n"/>
      <c r="B229" s="16" t="n"/>
      <c r="C229" s="16" t="n"/>
      <c r="D229" s="16" t="n"/>
      <c r="E229" s="16" t="n"/>
      <c r="F229" s="16" t="n"/>
      <c r="G229" s="16" t="n"/>
      <c r="H229" s="16" t="n"/>
      <c r="I229" s="16" t="n"/>
      <c r="J229" s="16" t="n"/>
      <c r="K229" s="16" t="n"/>
      <c r="L229" s="16" t="n"/>
      <c r="M229" s="16" t="n"/>
      <c r="N229" s="16" t="n"/>
      <c r="O229" s="16" t="n"/>
      <c r="P229" s="16" t="n"/>
      <c r="Q229" s="16" t="n"/>
      <c r="R229" s="16" t="n"/>
      <c r="S229" s="16" t="n"/>
      <c r="T229" s="16" t="n"/>
      <c r="U229" s="16" t="n"/>
      <c r="V229" s="16" t="n"/>
      <c r="W229" s="16" t="n"/>
      <c r="X229" s="16" t="n"/>
      <c r="Y229" s="16" t="n"/>
      <c r="Z229" s="16" t="n"/>
      <c r="AA229" s="16" t="n"/>
    </row>
    <row r="230">
      <c r="A230" s="16" t="n"/>
      <c r="B230" s="16" t="n"/>
      <c r="C230" s="16" t="n"/>
      <c r="D230" s="16" t="n"/>
      <c r="E230" s="16" t="n"/>
      <c r="F230" s="16" t="n"/>
      <c r="G230" s="16" t="n"/>
      <c r="H230" s="16" t="n"/>
      <c r="I230" s="16" t="n"/>
      <c r="J230" s="16" t="n"/>
      <c r="K230" s="16" t="n"/>
      <c r="L230" s="16" t="n"/>
      <c r="M230" s="16" t="n"/>
      <c r="N230" s="16" t="n"/>
      <c r="O230" s="16" t="n"/>
      <c r="P230" s="16" t="n"/>
      <c r="Q230" s="16" t="n"/>
      <c r="R230" s="16" t="n"/>
      <c r="S230" s="16" t="n"/>
      <c r="T230" s="16" t="n"/>
      <c r="U230" s="16" t="n"/>
      <c r="V230" s="16" t="n"/>
      <c r="W230" s="16" t="n"/>
      <c r="X230" s="16" t="n"/>
      <c r="Y230" s="16" t="n"/>
      <c r="Z230" s="16" t="n"/>
      <c r="AA230" s="16" t="n"/>
    </row>
    <row r="231">
      <c r="A231" s="16" t="n"/>
      <c r="B231" s="16" t="n"/>
      <c r="C231" s="16" t="n"/>
      <c r="D231" s="16" t="n"/>
      <c r="E231" s="16" t="n"/>
      <c r="F231" s="16" t="n"/>
      <c r="G231" s="16" t="n"/>
      <c r="H231" s="16" t="n"/>
      <c r="I231" s="16" t="n"/>
      <c r="J231" s="16" t="n"/>
      <c r="K231" s="16" t="n"/>
      <c r="L231" s="16" t="n"/>
      <c r="M231" s="16" t="n"/>
      <c r="N231" s="16" t="n"/>
      <c r="O231" s="16" t="n"/>
      <c r="P231" s="16" t="n"/>
      <c r="Q231" s="16" t="n"/>
      <c r="R231" s="16" t="n"/>
      <c r="S231" s="16" t="n"/>
      <c r="T231" s="16" t="n"/>
      <c r="U231" s="16" t="n"/>
      <c r="V231" s="16" t="n"/>
      <c r="W231" s="16" t="n"/>
      <c r="X231" s="16" t="n"/>
      <c r="Y231" s="16" t="n"/>
      <c r="Z231" s="16" t="n"/>
      <c r="AA231" s="16" t="n"/>
    </row>
    <row r="232">
      <c r="A232" s="16" t="n"/>
      <c r="B232" s="16" t="n"/>
      <c r="C232" s="16" t="n"/>
      <c r="D232" s="16" t="n"/>
      <c r="E232" s="16" t="n"/>
      <c r="F232" s="16" t="n"/>
      <c r="G232" s="16" t="n"/>
      <c r="H232" s="16" t="n"/>
      <c r="I232" s="16" t="n"/>
      <c r="J232" s="16" t="n"/>
      <c r="K232" s="16" t="n"/>
      <c r="L232" s="16" t="n"/>
      <c r="M232" s="16" t="n"/>
      <c r="N232" s="16" t="n"/>
      <c r="O232" s="16" t="n"/>
      <c r="P232" s="16" t="n"/>
      <c r="Q232" s="16" t="n"/>
      <c r="R232" s="16" t="n"/>
      <c r="S232" s="16" t="n"/>
      <c r="T232" s="16" t="n"/>
      <c r="U232" s="16" t="n"/>
      <c r="V232" s="16" t="n"/>
      <c r="W232" s="16" t="n"/>
      <c r="X232" s="16" t="n"/>
      <c r="Y232" s="16" t="n"/>
      <c r="Z232" s="16" t="n"/>
      <c r="AA232" s="16" t="n"/>
    </row>
    <row r="233">
      <c r="A233" s="16" t="n"/>
      <c r="B233" s="16" t="n"/>
      <c r="C233" s="16" t="n"/>
      <c r="D233" s="16" t="n"/>
      <c r="E233" s="16" t="n"/>
      <c r="F233" s="16" t="n"/>
      <c r="G233" s="16" t="n"/>
      <c r="H233" s="16" t="n"/>
      <c r="I233" s="16" t="n"/>
      <c r="J233" s="16" t="n"/>
      <c r="K233" s="16" t="n"/>
      <c r="L233" s="16" t="n"/>
      <c r="M233" s="16" t="n"/>
      <c r="N233" s="16" t="n"/>
      <c r="O233" s="16" t="n"/>
      <c r="P233" s="16" t="n"/>
      <c r="Q233" s="16" t="n"/>
      <c r="R233" s="16" t="n"/>
      <c r="S233" s="16" t="n"/>
      <c r="T233" s="16" t="n"/>
      <c r="U233" s="16" t="n"/>
      <c r="V233" s="16" t="n"/>
      <c r="W233" s="16" t="n"/>
      <c r="X233" s="16" t="n"/>
      <c r="Y233" s="16" t="n"/>
      <c r="Z233" s="16" t="n"/>
      <c r="AA233" s="16" t="n"/>
    </row>
    <row r="234">
      <c r="A234" s="16" t="n"/>
      <c r="B234" s="16" t="n"/>
      <c r="C234" s="16" t="n"/>
      <c r="D234" s="16" t="n"/>
      <c r="E234" s="16" t="n"/>
      <c r="F234" s="16" t="n"/>
      <c r="G234" s="16" t="n"/>
      <c r="H234" s="16" t="n"/>
      <c r="I234" s="16" t="n"/>
      <c r="J234" s="16" t="n"/>
      <c r="K234" s="16" t="n"/>
      <c r="L234" s="16" t="n"/>
      <c r="M234" s="16" t="n"/>
      <c r="N234" s="16" t="n"/>
      <c r="O234" s="16" t="n"/>
      <c r="P234" s="16" t="n"/>
      <c r="Q234" s="16" t="n"/>
      <c r="R234" s="16" t="n"/>
      <c r="S234" s="16" t="n"/>
      <c r="T234" s="16" t="n"/>
      <c r="U234" s="16" t="n"/>
      <c r="V234" s="16" t="n"/>
      <c r="W234" s="16" t="n"/>
      <c r="X234" s="16" t="n"/>
      <c r="Y234" s="16" t="n"/>
      <c r="Z234" s="16" t="n"/>
      <c r="AA234" s="16" t="n"/>
    </row>
    <row r="235">
      <c r="A235" s="16" t="n"/>
      <c r="B235" s="16" t="n"/>
      <c r="C235" s="16" t="n"/>
      <c r="D235" s="16" t="n"/>
      <c r="E235" s="16" t="n"/>
      <c r="F235" s="16" t="n"/>
      <c r="G235" s="16" t="n"/>
      <c r="H235" s="16" t="n"/>
      <c r="I235" s="16" t="n"/>
      <c r="J235" s="16" t="n"/>
      <c r="K235" s="16" t="n"/>
      <c r="L235" s="16" t="n"/>
      <c r="M235" s="16" t="n"/>
      <c r="N235" s="16" t="n"/>
      <c r="O235" s="16" t="n"/>
      <c r="P235" s="16" t="n"/>
      <c r="Q235" s="16" t="n"/>
      <c r="R235" s="16" t="n"/>
      <c r="S235" s="16" t="n"/>
      <c r="T235" s="16" t="n"/>
      <c r="U235" s="16" t="n"/>
      <c r="V235" s="16" t="n"/>
      <c r="W235" s="16" t="n"/>
      <c r="X235" s="16" t="n"/>
      <c r="Y235" s="16" t="n"/>
      <c r="Z235" s="16" t="n"/>
      <c r="AA235" s="16" t="n"/>
    </row>
    <row r="236">
      <c r="A236" s="16" t="n"/>
      <c r="B236" s="16" t="n"/>
      <c r="C236" s="16" t="n"/>
      <c r="D236" s="16" t="n"/>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c r="AA236" s="16" t="n"/>
    </row>
    <row r="237">
      <c r="A237" s="16" t="n"/>
      <c r="B237" s="16" t="n"/>
      <c r="C237" s="16" t="n"/>
      <c r="D237" s="16" t="n"/>
      <c r="E237" s="16" t="n"/>
      <c r="F237" s="16" t="n"/>
      <c r="G237" s="16" t="n"/>
      <c r="H237" s="16" t="n"/>
      <c r="I237" s="16" t="n"/>
      <c r="J237" s="16" t="n"/>
      <c r="K237" s="16" t="n"/>
      <c r="L237" s="16" t="n"/>
      <c r="M237" s="16" t="n"/>
      <c r="N237" s="16" t="n"/>
      <c r="O237" s="16" t="n"/>
      <c r="P237" s="16" t="n"/>
      <c r="Q237" s="16" t="n"/>
      <c r="R237" s="16" t="n"/>
      <c r="S237" s="16" t="n"/>
      <c r="T237" s="16" t="n"/>
      <c r="U237" s="16" t="n"/>
      <c r="V237" s="16" t="n"/>
      <c r="W237" s="16" t="n"/>
      <c r="X237" s="16" t="n"/>
      <c r="Y237" s="16" t="n"/>
      <c r="Z237" s="16" t="n"/>
      <c r="AA237" s="16" t="n"/>
    </row>
    <row r="238">
      <c r="A238" s="16" t="n"/>
      <c r="B238" s="16" t="n"/>
      <c r="C238" s="16" t="n"/>
      <c r="D238" s="16" t="n"/>
      <c r="E238" s="16" t="n"/>
      <c r="F238" s="16" t="n"/>
      <c r="G238" s="16" t="n"/>
      <c r="H238" s="16" t="n"/>
      <c r="I238" s="16" t="n"/>
      <c r="J238" s="16" t="n"/>
      <c r="K238" s="16" t="n"/>
      <c r="L238" s="16" t="n"/>
      <c r="M238" s="16" t="n"/>
      <c r="N238" s="16" t="n"/>
      <c r="O238" s="16" t="n"/>
      <c r="P238" s="16" t="n"/>
      <c r="Q238" s="16" t="n"/>
      <c r="R238" s="16" t="n"/>
      <c r="S238" s="16" t="n"/>
      <c r="T238" s="16" t="n"/>
      <c r="U238" s="16" t="n"/>
      <c r="V238" s="16" t="n"/>
      <c r="W238" s="16" t="n"/>
      <c r="X238" s="16" t="n"/>
      <c r="Y238" s="16" t="n"/>
      <c r="Z238" s="16" t="n"/>
      <c r="AA238" s="16" t="n"/>
    </row>
    <row r="239">
      <c r="A239" s="16" t="n"/>
      <c r="B239" s="16" t="n"/>
      <c r="C239" s="16" t="n"/>
      <c r="D239" s="16" t="n"/>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c r="AA239" s="16" t="n"/>
    </row>
    <row r="240">
      <c r="A240" s="16" t="n"/>
      <c r="B240" s="16" t="n"/>
      <c r="C240" s="16" t="n"/>
      <c r="D240" s="16" t="n"/>
      <c r="E240" s="16" t="n"/>
      <c r="F240" s="16" t="n"/>
      <c r="G240" s="16" t="n"/>
      <c r="H240" s="16" t="n"/>
      <c r="I240" s="16" t="n"/>
      <c r="J240" s="16" t="n"/>
      <c r="K240" s="16" t="n"/>
      <c r="L240" s="16" t="n"/>
      <c r="M240" s="16" t="n"/>
      <c r="N240" s="16" t="n"/>
      <c r="O240" s="16" t="n"/>
      <c r="P240" s="16" t="n"/>
      <c r="Q240" s="16" t="n"/>
      <c r="R240" s="16" t="n"/>
      <c r="S240" s="16" t="n"/>
      <c r="T240" s="16" t="n"/>
      <c r="U240" s="16" t="n"/>
      <c r="V240" s="16" t="n"/>
      <c r="W240" s="16" t="n"/>
      <c r="X240" s="16" t="n"/>
      <c r="Y240" s="16" t="n"/>
      <c r="Z240" s="16" t="n"/>
      <c r="AA240" s="16" t="n"/>
    </row>
    <row r="241">
      <c r="A241" s="16" t="n"/>
      <c r="B241" s="16" t="n"/>
      <c r="C241" s="16" t="n"/>
      <c r="D241" s="16" t="n"/>
      <c r="E241" s="16" t="n"/>
      <c r="F241" s="16" t="n"/>
      <c r="G241" s="16" t="n"/>
      <c r="H241" s="16" t="n"/>
      <c r="I241" s="16" t="n"/>
      <c r="J241" s="16" t="n"/>
      <c r="K241" s="16" t="n"/>
      <c r="L241" s="16" t="n"/>
      <c r="M241" s="16" t="n"/>
      <c r="N241" s="16" t="n"/>
      <c r="O241" s="16" t="n"/>
      <c r="P241" s="16" t="n"/>
      <c r="Q241" s="16" t="n"/>
      <c r="R241" s="16" t="n"/>
      <c r="S241" s="16" t="n"/>
      <c r="T241" s="16" t="n"/>
      <c r="U241" s="16" t="n"/>
      <c r="V241" s="16" t="n"/>
      <c r="W241" s="16" t="n"/>
      <c r="X241" s="16" t="n"/>
      <c r="Y241" s="16" t="n"/>
      <c r="Z241" s="16" t="n"/>
      <c r="AA241" s="16" t="n"/>
    </row>
    <row r="242">
      <c r="A242" s="16" t="n"/>
      <c r="B242" s="16" t="n"/>
      <c r="C242" s="16" t="n"/>
      <c r="D242" s="16" t="n"/>
      <c r="E242" s="16" t="n"/>
      <c r="F242" s="16" t="n"/>
      <c r="G242" s="16" t="n"/>
      <c r="H242" s="16" t="n"/>
      <c r="I242" s="16" t="n"/>
      <c r="J242" s="16" t="n"/>
      <c r="K242" s="16" t="n"/>
      <c r="L242" s="16" t="n"/>
      <c r="M242" s="16" t="n"/>
      <c r="N242" s="16" t="n"/>
      <c r="O242" s="16" t="n"/>
      <c r="P242" s="16" t="n"/>
      <c r="Q242" s="16" t="n"/>
      <c r="R242" s="16" t="n"/>
      <c r="S242" s="16" t="n"/>
      <c r="T242" s="16" t="n"/>
      <c r="U242" s="16" t="n"/>
      <c r="V242" s="16" t="n"/>
      <c r="W242" s="16" t="n"/>
      <c r="X242" s="16" t="n"/>
      <c r="Y242" s="16" t="n"/>
      <c r="Z242" s="16" t="n"/>
      <c r="AA242" s="16" t="n"/>
    </row>
    <row r="243">
      <c r="A243" s="16" t="n"/>
      <c r="B243" s="16" t="n"/>
      <c r="C243" s="16" t="n"/>
      <c r="D243" s="16" t="n"/>
      <c r="E243" s="16" t="n"/>
      <c r="F243" s="16" t="n"/>
      <c r="G243" s="16" t="n"/>
      <c r="H243" s="16" t="n"/>
      <c r="I243" s="16" t="n"/>
      <c r="J243" s="16" t="n"/>
      <c r="K243" s="16" t="n"/>
      <c r="L243" s="16" t="n"/>
      <c r="M243" s="16" t="n"/>
      <c r="N243" s="16" t="n"/>
      <c r="O243" s="16" t="n"/>
      <c r="P243" s="16" t="n"/>
      <c r="Q243" s="16" t="n"/>
      <c r="R243" s="16" t="n"/>
      <c r="S243" s="16" t="n"/>
      <c r="T243" s="16" t="n"/>
      <c r="U243" s="16" t="n"/>
      <c r="V243" s="16" t="n"/>
      <c r="W243" s="16" t="n"/>
      <c r="X243" s="16" t="n"/>
      <c r="Y243" s="16" t="n"/>
      <c r="Z243" s="16" t="n"/>
      <c r="AA243" s="16" t="n"/>
    </row>
    <row r="244">
      <c r="A244" s="16" t="n"/>
      <c r="B244" s="16" t="n"/>
      <c r="C244" s="16" t="n"/>
      <c r="D244" s="16" t="n"/>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row>
    <row r="245">
      <c r="A245" s="16" t="n"/>
      <c r="B245" s="16" t="n"/>
      <c r="C245" s="16" t="n"/>
      <c r="D245" s="16" t="n"/>
      <c r="E245" s="16" t="n"/>
      <c r="F245" s="16" t="n"/>
      <c r="G245" s="16" t="n"/>
      <c r="H245" s="16" t="n"/>
      <c r="I245" s="16" t="n"/>
      <c r="J245" s="16" t="n"/>
      <c r="K245" s="16" t="n"/>
      <c r="L245" s="16" t="n"/>
      <c r="M245" s="16" t="n"/>
      <c r="N245" s="16" t="n"/>
      <c r="O245" s="16" t="n"/>
      <c r="P245" s="16" t="n"/>
      <c r="Q245" s="16" t="n"/>
      <c r="R245" s="16" t="n"/>
      <c r="S245" s="16" t="n"/>
      <c r="T245" s="16" t="n"/>
      <c r="U245" s="16" t="n"/>
      <c r="V245" s="16" t="n"/>
      <c r="W245" s="16" t="n"/>
      <c r="X245" s="16" t="n"/>
      <c r="Y245" s="16" t="n"/>
      <c r="Z245" s="16" t="n"/>
      <c r="AA245" s="16" t="n"/>
    </row>
    <row r="246">
      <c r="A246" s="16" t="n"/>
      <c r="B246" s="16" t="n"/>
      <c r="C246" s="16" t="n"/>
      <c r="D246" s="16" t="n"/>
      <c r="E246" s="16" t="n"/>
      <c r="F246" s="16" t="n"/>
      <c r="G246" s="16" t="n"/>
      <c r="H246" s="16" t="n"/>
      <c r="I246" s="16" t="n"/>
      <c r="J246" s="16" t="n"/>
      <c r="K246" s="16" t="n"/>
      <c r="L246" s="16" t="n"/>
      <c r="M246" s="16" t="n"/>
      <c r="N246" s="16" t="n"/>
      <c r="O246" s="16" t="n"/>
      <c r="P246" s="16" t="n"/>
      <c r="Q246" s="16" t="n"/>
      <c r="R246" s="16" t="n"/>
      <c r="S246" s="16" t="n"/>
      <c r="T246" s="16" t="n"/>
      <c r="U246" s="16" t="n"/>
      <c r="V246" s="16" t="n"/>
      <c r="W246" s="16" t="n"/>
      <c r="X246" s="16" t="n"/>
      <c r="Y246" s="16" t="n"/>
      <c r="Z246" s="16" t="n"/>
      <c r="AA246" s="16" t="n"/>
    </row>
    <row r="247">
      <c r="A247" s="16" t="n"/>
      <c r="B247" s="16" t="n"/>
      <c r="C247" s="16" t="n"/>
      <c r="D247" s="16" t="n"/>
      <c r="E247" s="16" t="n"/>
      <c r="F247" s="16" t="n"/>
      <c r="G247" s="16" t="n"/>
      <c r="H247" s="16" t="n"/>
      <c r="I247" s="16" t="n"/>
      <c r="J247" s="16" t="n"/>
      <c r="K247" s="16" t="n"/>
      <c r="L247" s="16" t="n"/>
      <c r="M247" s="16" t="n"/>
      <c r="N247" s="16" t="n"/>
      <c r="O247" s="16" t="n"/>
      <c r="P247" s="16" t="n"/>
      <c r="Q247" s="16" t="n"/>
      <c r="R247" s="16" t="n"/>
      <c r="S247" s="16" t="n"/>
      <c r="T247" s="16" t="n"/>
      <c r="U247" s="16" t="n"/>
      <c r="V247" s="16" t="n"/>
      <c r="W247" s="16" t="n"/>
      <c r="X247" s="16" t="n"/>
      <c r="Y247" s="16" t="n"/>
      <c r="Z247" s="16" t="n"/>
      <c r="AA247" s="16" t="n"/>
    </row>
    <row r="248">
      <c r="A248" s="16" t="n"/>
      <c r="B248" s="16" t="n"/>
      <c r="C248" s="16" t="n"/>
      <c r="D248" s="16" t="n"/>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c r="AA248" s="16" t="n"/>
    </row>
    <row r="249">
      <c r="A249" s="16" t="n"/>
      <c r="B249" s="16" t="n"/>
      <c r="C249" s="16" t="n"/>
      <c r="D249" s="16" t="n"/>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c r="AA249" s="16" t="n"/>
    </row>
    <row r="250">
      <c r="A250" s="16" t="n"/>
      <c r="B250" s="16" t="n"/>
      <c r="C250" s="16" t="n"/>
      <c r="D250" s="16" t="n"/>
      <c r="E250" s="16" t="n"/>
      <c r="F250" s="16" t="n"/>
      <c r="G250" s="16" t="n"/>
      <c r="H250" s="16" t="n"/>
      <c r="I250" s="16" t="n"/>
      <c r="J250" s="16" t="n"/>
      <c r="K250" s="16" t="n"/>
      <c r="L250" s="16" t="n"/>
      <c r="M250" s="16" t="n"/>
      <c r="N250" s="16" t="n"/>
      <c r="O250" s="16" t="n"/>
      <c r="P250" s="16" t="n"/>
      <c r="Q250" s="16" t="n"/>
      <c r="R250" s="16" t="n"/>
      <c r="S250" s="16" t="n"/>
      <c r="T250" s="16" t="n"/>
      <c r="U250" s="16" t="n"/>
      <c r="V250" s="16" t="n"/>
      <c r="W250" s="16" t="n"/>
      <c r="X250" s="16" t="n"/>
      <c r="Y250" s="16" t="n"/>
      <c r="Z250" s="16" t="n"/>
      <c r="AA250" s="16" t="n"/>
    </row>
    <row r="251">
      <c r="A251" s="16" t="n"/>
      <c r="B251" s="16" t="n"/>
      <c r="C251" s="16" t="n"/>
      <c r="D251" s="16" t="n"/>
      <c r="E251" s="16" t="n"/>
      <c r="F251" s="16" t="n"/>
      <c r="G251" s="16" t="n"/>
      <c r="H251" s="16" t="n"/>
      <c r="I251" s="16" t="n"/>
      <c r="J251" s="16" t="n"/>
      <c r="K251" s="16" t="n"/>
      <c r="L251" s="16" t="n"/>
      <c r="M251" s="16" t="n"/>
      <c r="N251" s="16" t="n"/>
      <c r="O251" s="16" t="n"/>
      <c r="P251" s="16" t="n"/>
      <c r="Q251" s="16" t="n"/>
      <c r="R251" s="16" t="n"/>
      <c r="S251" s="16" t="n"/>
      <c r="T251" s="16" t="n"/>
      <c r="U251" s="16" t="n"/>
      <c r="V251" s="16" t="n"/>
      <c r="W251" s="16" t="n"/>
      <c r="X251" s="16" t="n"/>
      <c r="Y251" s="16" t="n"/>
      <c r="Z251" s="16" t="n"/>
      <c r="AA251" s="16" t="n"/>
    </row>
    <row r="252">
      <c r="A252" s="16" t="n"/>
      <c r="B252" s="16" t="n"/>
      <c r="C252" s="16" t="n"/>
      <c r="D252" s="16" t="n"/>
      <c r="E252" s="16" t="n"/>
      <c r="F252" s="16" t="n"/>
      <c r="G252" s="16" t="n"/>
      <c r="H252" s="16" t="n"/>
      <c r="I252" s="16" t="n"/>
      <c r="J252" s="16" t="n"/>
      <c r="K252" s="16" t="n"/>
      <c r="L252" s="16" t="n"/>
      <c r="M252" s="16" t="n"/>
      <c r="N252" s="16" t="n"/>
      <c r="O252" s="16" t="n"/>
      <c r="P252" s="16" t="n"/>
      <c r="Q252" s="16" t="n"/>
      <c r="R252" s="16" t="n"/>
      <c r="S252" s="16" t="n"/>
      <c r="T252" s="16" t="n"/>
      <c r="U252" s="16" t="n"/>
      <c r="V252" s="16" t="n"/>
      <c r="W252" s="16" t="n"/>
      <c r="X252" s="16" t="n"/>
      <c r="Y252" s="16" t="n"/>
      <c r="Z252" s="16" t="n"/>
      <c r="AA252" s="16" t="n"/>
    </row>
    <row r="253">
      <c r="A253" s="16" t="n"/>
      <c r="B253" s="16" t="n"/>
      <c r="C253" s="16" t="n"/>
      <c r="D253" s="16" t="n"/>
      <c r="E253" s="16" t="n"/>
      <c r="F253" s="16" t="n"/>
      <c r="G253" s="16" t="n"/>
      <c r="H253" s="16" t="n"/>
      <c r="I253" s="16" t="n"/>
      <c r="J253" s="16" t="n"/>
      <c r="K253" s="16" t="n"/>
      <c r="L253" s="16" t="n"/>
      <c r="M253" s="16" t="n"/>
      <c r="N253" s="16" t="n"/>
      <c r="O253" s="16" t="n"/>
      <c r="P253" s="16" t="n"/>
      <c r="Q253" s="16" t="n"/>
      <c r="R253" s="16" t="n"/>
      <c r="S253" s="16" t="n"/>
      <c r="T253" s="16" t="n"/>
      <c r="U253" s="16" t="n"/>
      <c r="V253" s="16" t="n"/>
      <c r="W253" s="16" t="n"/>
      <c r="X253" s="16" t="n"/>
      <c r="Y253" s="16" t="n"/>
      <c r="Z253" s="16" t="n"/>
      <c r="AA253" s="16" t="n"/>
    </row>
    <row r="254">
      <c r="A254" s="16" t="n"/>
      <c r="B254" s="16" t="n"/>
      <c r="C254" s="16" t="n"/>
      <c r="D254" s="16" t="n"/>
      <c r="E254" s="16" t="n"/>
      <c r="F254" s="16" t="n"/>
      <c r="G254" s="16" t="n"/>
      <c r="H254" s="16" t="n"/>
      <c r="I254" s="16" t="n"/>
      <c r="J254" s="16" t="n"/>
      <c r="K254" s="16" t="n"/>
      <c r="L254" s="16" t="n"/>
      <c r="M254" s="16" t="n"/>
      <c r="N254" s="16" t="n"/>
      <c r="O254" s="16" t="n"/>
      <c r="P254" s="16" t="n"/>
      <c r="Q254" s="16" t="n"/>
      <c r="R254" s="16" t="n"/>
      <c r="S254" s="16" t="n"/>
      <c r="T254" s="16" t="n"/>
      <c r="U254" s="16" t="n"/>
      <c r="V254" s="16" t="n"/>
      <c r="W254" s="16" t="n"/>
      <c r="X254" s="16" t="n"/>
      <c r="Y254" s="16" t="n"/>
      <c r="Z254" s="16" t="n"/>
      <c r="AA254" s="16" t="n"/>
    </row>
    <row r="255">
      <c r="A255" s="16" t="n"/>
      <c r="B255" s="16" t="n"/>
      <c r="C255" s="16" t="n"/>
      <c r="D255" s="16" t="n"/>
      <c r="E255" s="16" t="n"/>
      <c r="F255" s="16" t="n"/>
      <c r="G255" s="16" t="n"/>
      <c r="H255" s="16" t="n"/>
      <c r="I255" s="16" t="n"/>
      <c r="J255" s="16" t="n"/>
      <c r="K255" s="16" t="n"/>
      <c r="L255" s="16" t="n"/>
      <c r="M255" s="16" t="n"/>
      <c r="N255" s="16" t="n"/>
      <c r="O255" s="16" t="n"/>
      <c r="P255" s="16" t="n"/>
      <c r="Q255" s="16" t="n"/>
      <c r="R255" s="16" t="n"/>
      <c r="S255" s="16" t="n"/>
      <c r="T255" s="16" t="n"/>
      <c r="U255" s="16" t="n"/>
      <c r="V255" s="16" t="n"/>
      <c r="W255" s="16" t="n"/>
      <c r="X255" s="16" t="n"/>
      <c r="Y255" s="16" t="n"/>
      <c r="Z255" s="16" t="n"/>
      <c r="AA255" s="16" t="n"/>
    </row>
    <row r="256">
      <c r="A256" s="16" t="n"/>
      <c r="B256" s="16" t="n"/>
      <c r="C256" s="16" t="n"/>
      <c r="D256" s="16" t="n"/>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c r="AA256" s="16" t="n"/>
    </row>
    <row r="257">
      <c r="A257" s="16" t="n"/>
      <c r="B257" s="16" t="n"/>
      <c r="C257" s="16" t="n"/>
      <c r="D257" s="16" t="n"/>
      <c r="E257" s="16" t="n"/>
      <c r="F257" s="16" t="n"/>
      <c r="G257" s="16" t="n"/>
      <c r="H257" s="16" t="n"/>
      <c r="I257" s="16" t="n"/>
      <c r="J257" s="16" t="n"/>
      <c r="K257" s="16" t="n"/>
      <c r="L257" s="16" t="n"/>
      <c r="M257" s="16" t="n"/>
      <c r="N257" s="16" t="n"/>
      <c r="O257" s="16" t="n"/>
      <c r="P257" s="16" t="n"/>
      <c r="Q257" s="16" t="n"/>
      <c r="R257" s="16" t="n"/>
      <c r="S257" s="16" t="n"/>
      <c r="T257" s="16" t="n"/>
      <c r="U257" s="16" t="n"/>
      <c r="V257" s="16" t="n"/>
      <c r="W257" s="16" t="n"/>
      <c r="X257" s="16" t="n"/>
      <c r="Y257" s="16" t="n"/>
      <c r="Z257" s="16" t="n"/>
      <c r="AA257" s="16" t="n"/>
    </row>
    <row r="258">
      <c r="A258" s="16" t="n"/>
      <c r="B258" s="16" t="n"/>
      <c r="C258" s="16" t="n"/>
      <c r="D258" s="16" t="n"/>
      <c r="E258" s="16" t="n"/>
      <c r="F258" s="16" t="n"/>
      <c r="G258" s="16" t="n"/>
      <c r="H258" s="16" t="n"/>
      <c r="I258" s="16" t="n"/>
      <c r="J258" s="16" t="n"/>
      <c r="K258" s="16" t="n"/>
      <c r="L258" s="16" t="n"/>
      <c r="M258" s="16" t="n"/>
      <c r="N258" s="16" t="n"/>
      <c r="O258" s="16" t="n"/>
      <c r="P258" s="16" t="n"/>
      <c r="Q258" s="16" t="n"/>
      <c r="R258" s="16" t="n"/>
      <c r="S258" s="16" t="n"/>
      <c r="T258" s="16" t="n"/>
      <c r="U258" s="16" t="n"/>
      <c r="V258" s="16" t="n"/>
      <c r="W258" s="16" t="n"/>
      <c r="X258" s="16" t="n"/>
      <c r="Y258" s="16" t="n"/>
      <c r="Z258" s="16" t="n"/>
      <c r="AA258" s="16" t="n"/>
    </row>
    <row r="259">
      <c r="A259" s="16" t="n"/>
      <c r="B259" s="16" t="n"/>
      <c r="C259" s="16" t="n"/>
      <c r="D259" s="16" t="n"/>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c r="AA259" s="16" t="n"/>
    </row>
    <row r="260">
      <c r="A260" s="16" t="n"/>
      <c r="B260" s="16" t="n"/>
      <c r="C260" s="16" t="n"/>
      <c r="D260" s="16" t="n"/>
      <c r="E260" s="16" t="n"/>
      <c r="F260" s="16" t="n"/>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c r="AA260" s="16" t="n"/>
    </row>
    <row r="261">
      <c r="A261" s="16" t="n"/>
      <c r="B261" s="16" t="n"/>
      <c r="C261" s="16" t="n"/>
      <c r="D261" s="16" t="n"/>
      <c r="E261" s="16" t="n"/>
      <c r="F261" s="16" t="n"/>
      <c r="G261" s="16" t="n"/>
      <c r="H261" s="16" t="n"/>
      <c r="I261" s="16" t="n"/>
      <c r="J261" s="16" t="n"/>
      <c r="K261" s="16" t="n"/>
      <c r="L261" s="16" t="n"/>
      <c r="M261" s="16" t="n"/>
      <c r="N261" s="16" t="n"/>
      <c r="O261" s="16" t="n"/>
      <c r="P261" s="16" t="n"/>
      <c r="Q261" s="16" t="n"/>
      <c r="R261" s="16" t="n"/>
      <c r="S261" s="16" t="n"/>
      <c r="T261" s="16" t="n"/>
      <c r="U261" s="16" t="n"/>
      <c r="V261" s="16" t="n"/>
      <c r="W261" s="16" t="n"/>
      <c r="X261" s="16" t="n"/>
      <c r="Y261" s="16" t="n"/>
      <c r="Z261" s="16" t="n"/>
      <c r="AA261" s="16" t="n"/>
    </row>
    <row r="262">
      <c r="A262" s="16" t="n"/>
      <c r="B262" s="16" t="n"/>
      <c r="C262" s="16" t="n"/>
      <c r="D262" s="16" t="n"/>
      <c r="E262" s="16" t="n"/>
      <c r="F262" s="16" t="n"/>
      <c r="G262" s="16" t="n"/>
      <c r="H262" s="16" t="n"/>
      <c r="I262" s="16" t="n"/>
      <c r="J262" s="16" t="n"/>
      <c r="K262" s="16" t="n"/>
      <c r="L262" s="16" t="n"/>
      <c r="M262" s="16" t="n"/>
      <c r="N262" s="16" t="n"/>
      <c r="O262" s="16" t="n"/>
      <c r="P262" s="16" t="n"/>
      <c r="Q262" s="16" t="n"/>
      <c r="R262" s="16" t="n"/>
      <c r="S262" s="16" t="n"/>
      <c r="T262" s="16" t="n"/>
      <c r="U262" s="16" t="n"/>
      <c r="V262" s="16" t="n"/>
      <c r="W262" s="16" t="n"/>
      <c r="X262" s="16" t="n"/>
      <c r="Y262" s="16" t="n"/>
      <c r="Z262" s="16" t="n"/>
      <c r="AA262" s="16" t="n"/>
    </row>
    <row r="263">
      <c r="A263" s="16" t="n"/>
      <c r="B263" s="16" t="n"/>
      <c r="C263" s="16" t="n"/>
      <c r="D263" s="16" t="n"/>
      <c r="E263" s="16" t="n"/>
      <c r="F263" s="16" t="n"/>
      <c r="G263" s="16" t="n"/>
      <c r="H263" s="16" t="n"/>
      <c r="I263" s="16" t="n"/>
      <c r="J263" s="16" t="n"/>
      <c r="K263" s="16" t="n"/>
      <c r="L263" s="16" t="n"/>
      <c r="M263" s="16" t="n"/>
      <c r="N263" s="16" t="n"/>
      <c r="O263" s="16" t="n"/>
      <c r="P263" s="16" t="n"/>
      <c r="Q263" s="16" t="n"/>
      <c r="R263" s="16" t="n"/>
      <c r="S263" s="16" t="n"/>
      <c r="T263" s="16" t="n"/>
      <c r="U263" s="16" t="n"/>
      <c r="V263" s="16" t="n"/>
      <c r="W263" s="16" t="n"/>
      <c r="X263" s="16" t="n"/>
      <c r="Y263" s="16" t="n"/>
      <c r="Z263" s="16" t="n"/>
      <c r="AA263" s="16" t="n"/>
    </row>
    <row r="264">
      <c r="A264" s="16" t="n"/>
      <c r="B264" s="16" t="n"/>
      <c r="C264" s="16" t="n"/>
      <c r="D264" s="16" t="n"/>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row>
    <row r="265">
      <c r="A265" s="16" t="n"/>
      <c r="B265" s="16" t="n"/>
      <c r="C265" s="16" t="n"/>
      <c r="D265" s="16" t="n"/>
      <c r="E265" s="16" t="n"/>
      <c r="F265" s="16" t="n"/>
      <c r="G265" s="16" t="n"/>
      <c r="H265" s="16" t="n"/>
      <c r="I265" s="16" t="n"/>
      <c r="J265" s="16" t="n"/>
      <c r="K265" s="16" t="n"/>
      <c r="L265" s="16" t="n"/>
      <c r="M265" s="16" t="n"/>
      <c r="N265" s="16" t="n"/>
      <c r="O265" s="16" t="n"/>
      <c r="P265" s="16" t="n"/>
      <c r="Q265" s="16" t="n"/>
      <c r="R265" s="16" t="n"/>
      <c r="S265" s="16" t="n"/>
      <c r="T265" s="16" t="n"/>
      <c r="U265" s="16" t="n"/>
      <c r="V265" s="16" t="n"/>
      <c r="W265" s="16" t="n"/>
      <c r="X265" s="16" t="n"/>
      <c r="Y265" s="16" t="n"/>
      <c r="Z265" s="16" t="n"/>
      <c r="AA265" s="16" t="n"/>
    </row>
    <row r="266">
      <c r="A266" s="16" t="n"/>
      <c r="B266" s="16" t="n"/>
      <c r="C266" s="16" t="n"/>
      <c r="D266" s="16" t="n"/>
      <c r="E266" s="16" t="n"/>
      <c r="F266" s="16" t="n"/>
      <c r="G266" s="16" t="n"/>
      <c r="H266" s="16" t="n"/>
      <c r="I266" s="16" t="n"/>
      <c r="J266" s="16" t="n"/>
      <c r="K266" s="16" t="n"/>
      <c r="L266" s="16" t="n"/>
      <c r="M266" s="16" t="n"/>
      <c r="N266" s="16" t="n"/>
      <c r="O266" s="16" t="n"/>
      <c r="P266" s="16" t="n"/>
      <c r="Q266" s="16" t="n"/>
      <c r="R266" s="16" t="n"/>
      <c r="S266" s="16" t="n"/>
      <c r="T266" s="16" t="n"/>
      <c r="U266" s="16" t="n"/>
      <c r="V266" s="16" t="n"/>
      <c r="W266" s="16" t="n"/>
      <c r="X266" s="16" t="n"/>
      <c r="Y266" s="16" t="n"/>
      <c r="Z266" s="16" t="n"/>
      <c r="AA266" s="16" t="n"/>
    </row>
    <row r="267">
      <c r="A267" s="16" t="n"/>
      <c r="B267" s="16" t="n"/>
      <c r="C267" s="16" t="n"/>
      <c r="D267" s="16" t="n"/>
      <c r="E267" s="16" t="n"/>
      <c r="F267" s="16" t="n"/>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c r="AA267" s="16" t="n"/>
    </row>
    <row r="268">
      <c r="A268" s="16" t="n"/>
      <c r="B268" s="16" t="n"/>
      <c r="C268" s="16" t="n"/>
      <c r="D268" s="16" t="n"/>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c r="AA268" s="16" t="n"/>
    </row>
    <row r="269">
      <c r="A269" s="16" t="n"/>
      <c r="B269" s="16" t="n"/>
      <c r="C269" s="16" t="n"/>
      <c r="D269" s="16" t="n"/>
      <c r="E269" s="16" t="n"/>
      <c r="F269" s="16" t="n"/>
      <c r="G269" s="16" t="n"/>
      <c r="H269" s="16" t="n"/>
      <c r="I269" s="16" t="n"/>
      <c r="J269" s="16" t="n"/>
      <c r="K269" s="16" t="n"/>
      <c r="L269" s="16" t="n"/>
      <c r="M269" s="16" t="n"/>
      <c r="N269" s="16" t="n"/>
      <c r="O269" s="16" t="n"/>
      <c r="P269" s="16" t="n"/>
      <c r="Q269" s="16" t="n"/>
      <c r="R269" s="16" t="n"/>
      <c r="S269" s="16" t="n"/>
      <c r="T269" s="16" t="n"/>
      <c r="U269" s="16" t="n"/>
      <c r="V269" s="16" t="n"/>
      <c r="W269" s="16" t="n"/>
      <c r="X269" s="16" t="n"/>
      <c r="Y269" s="16" t="n"/>
      <c r="Z269" s="16" t="n"/>
      <c r="AA269" s="16" t="n"/>
    </row>
    <row r="270">
      <c r="A270" s="16" t="n"/>
      <c r="B270" s="16" t="n"/>
      <c r="C270" s="16" t="n"/>
      <c r="D270" s="16" t="n"/>
      <c r="E270" s="16" t="n"/>
      <c r="F270" s="16" t="n"/>
      <c r="G270" s="16" t="n"/>
      <c r="H270" s="16" t="n"/>
      <c r="I270" s="16" t="n"/>
      <c r="J270" s="16" t="n"/>
      <c r="K270" s="16" t="n"/>
      <c r="L270" s="16" t="n"/>
      <c r="M270" s="16" t="n"/>
      <c r="N270" s="16" t="n"/>
      <c r="O270" s="16" t="n"/>
      <c r="P270" s="16" t="n"/>
      <c r="Q270" s="16" t="n"/>
      <c r="R270" s="16" t="n"/>
      <c r="S270" s="16" t="n"/>
      <c r="T270" s="16" t="n"/>
      <c r="U270" s="16" t="n"/>
      <c r="V270" s="16" t="n"/>
      <c r="W270" s="16" t="n"/>
      <c r="X270" s="16" t="n"/>
      <c r="Y270" s="16" t="n"/>
      <c r="Z270" s="16" t="n"/>
      <c r="AA270" s="16" t="n"/>
    </row>
    <row r="271">
      <c r="A271" s="16" t="n"/>
      <c r="B271" s="16" t="n"/>
      <c r="C271" s="16" t="n"/>
      <c r="D271" s="16" t="n"/>
      <c r="E271" s="16" t="n"/>
      <c r="F271" s="16" t="n"/>
      <c r="G271" s="16" t="n"/>
      <c r="H271" s="16" t="n"/>
      <c r="I271" s="16" t="n"/>
      <c r="J271" s="16" t="n"/>
      <c r="K271" s="16" t="n"/>
      <c r="L271" s="16" t="n"/>
      <c r="M271" s="16" t="n"/>
      <c r="N271" s="16" t="n"/>
      <c r="O271" s="16" t="n"/>
      <c r="P271" s="16" t="n"/>
      <c r="Q271" s="16" t="n"/>
      <c r="R271" s="16" t="n"/>
      <c r="S271" s="16" t="n"/>
      <c r="T271" s="16" t="n"/>
      <c r="U271" s="16" t="n"/>
      <c r="V271" s="16" t="n"/>
      <c r="W271" s="16" t="n"/>
      <c r="X271" s="16" t="n"/>
      <c r="Y271" s="16" t="n"/>
      <c r="Z271" s="16" t="n"/>
      <c r="AA271" s="16" t="n"/>
    </row>
    <row r="272">
      <c r="A272" s="16" t="n"/>
      <c r="B272" s="16" t="n"/>
      <c r="C272" s="16" t="n"/>
      <c r="D272" s="16" t="n"/>
      <c r="E272" s="16" t="n"/>
      <c r="F272" s="16" t="n"/>
      <c r="G272" s="16" t="n"/>
      <c r="H272" s="16" t="n"/>
      <c r="I272" s="16" t="n"/>
      <c r="J272" s="16" t="n"/>
      <c r="K272" s="16" t="n"/>
      <c r="L272" s="16" t="n"/>
      <c r="M272" s="16" t="n"/>
      <c r="N272" s="16" t="n"/>
      <c r="O272" s="16" t="n"/>
      <c r="P272" s="16" t="n"/>
      <c r="Q272" s="16" t="n"/>
      <c r="R272" s="16" t="n"/>
      <c r="S272" s="16" t="n"/>
      <c r="T272" s="16" t="n"/>
      <c r="U272" s="16" t="n"/>
      <c r="V272" s="16" t="n"/>
      <c r="W272" s="16" t="n"/>
      <c r="X272" s="16" t="n"/>
      <c r="Y272" s="16" t="n"/>
      <c r="Z272" s="16" t="n"/>
      <c r="AA272" s="16" t="n"/>
    </row>
    <row r="273">
      <c r="A273" s="16" t="n"/>
      <c r="B273" s="16" t="n"/>
      <c r="C273" s="16" t="n"/>
      <c r="D273" s="16" t="n"/>
      <c r="E273" s="16" t="n"/>
      <c r="F273" s="16" t="n"/>
      <c r="G273" s="16" t="n"/>
      <c r="H273" s="16" t="n"/>
      <c r="I273" s="16" t="n"/>
      <c r="J273" s="16" t="n"/>
      <c r="K273" s="16" t="n"/>
      <c r="L273" s="16" t="n"/>
      <c r="M273" s="16" t="n"/>
      <c r="N273" s="16" t="n"/>
      <c r="O273" s="16" t="n"/>
      <c r="P273" s="16" t="n"/>
      <c r="Q273" s="16" t="n"/>
      <c r="R273" s="16" t="n"/>
      <c r="S273" s="16" t="n"/>
      <c r="T273" s="16" t="n"/>
      <c r="U273" s="16" t="n"/>
      <c r="V273" s="16" t="n"/>
      <c r="W273" s="16" t="n"/>
      <c r="X273" s="16" t="n"/>
      <c r="Y273" s="16" t="n"/>
      <c r="Z273" s="16" t="n"/>
      <c r="AA273" s="16" t="n"/>
    </row>
    <row r="274">
      <c r="A274" s="16" t="n"/>
      <c r="B274" s="16" t="n"/>
      <c r="C274" s="16" t="n"/>
      <c r="D274" s="16" t="n"/>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c r="AA274" s="16" t="n"/>
    </row>
    <row r="275">
      <c r="A275" s="16" t="n"/>
      <c r="B275" s="16" t="n"/>
      <c r="C275" s="16" t="n"/>
      <c r="D275" s="16" t="n"/>
      <c r="E275" s="16" t="n"/>
      <c r="F275" s="16" t="n"/>
      <c r="G275" s="16" t="n"/>
      <c r="H275" s="16" t="n"/>
      <c r="I275" s="16" t="n"/>
      <c r="J275" s="16" t="n"/>
      <c r="K275" s="16" t="n"/>
      <c r="L275" s="16" t="n"/>
      <c r="M275" s="16" t="n"/>
      <c r="N275" s="16" t="n"/>
      <c r="O275" s="16" t="n"/>
      <c r="P275" s="16" t="n"/>
      <c r="Q275" s="16" t="n"/>
      <c r="R275" s="16" t="n"/>
      <c r="S275" s="16" t="n"/>
      <c r="T275" s="16" t="n"/>
      <c r="U275" s="16" t="n"/>
      <c r="V275" s="16" t="n"/>
      <c r="W275" s="16" t="n"/>
      <c r="X275" s="16" t="n"/>
      <c r="Y275" s="16" t="n"/>
      <c r="Z275" s="16" t="n"/>
      <c r="AA275" s="16" t="n"/>
    </row>
    <row r="276">
      <c r="A276" s="16" t="n"/>
      <c r="B276" s="16" t="n"/>
      <c r="C276" s="16" t="n"/>
      <c r="D276" s="16" t="n"/>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c r="AA276" s="16" t="n"/>
    </row>
    <row r="277">
      <c r="A277" s="16" t="n"/>
      <c r="B277" s="16" t="n"/>
      <c r="C277" s="16" t="n"/>
      <c r="D277" s="16" t="n"/>
      <c r="E277" s="16" t="n"/>
      <c r="F277" s="16" t="n"/>
      <c r="G277" s="16" t="n"/>
      <c r="H277" s="16" t="n"/>
      <c r="I277" s="16" t="n"/>
      <c r="J277" s="16" t="n"/>
      <c r="K277" s="16" t="n"/>
      <c r="L277" s="16" t="n"/>
      <c r="M277" s="16" t="n"/>
      <c r="N277" s="16" t="n"/>
      <c r="O277" s="16" t="n"/>
      <c r="P277" s="16" t="n"/>
      <c r="Q277" s="16" t="n"/>
      <c r="R277" s="16" t="n"/>
      <c r="S277" s="16" t="n"/>
      <c r="T277" s="16" t="n"/>
      <c r="U277" s="16" t="n"/>
      <c r="V277" s="16" t="n"/>
      <c r="W277" s="16" t="n"/>
      <c r="X277" s="16" t="n"/>
      <c r="Y277" s="16" t="n"/>
      <c r="Z277" s="16" t="n"/>
      <c r="AA277" s="16" t="n"/>
    </row>
    <row r="278">
      <c r="A278" s="16" t="n"/>
      <c r="B278" s="16" t="n"/>
      <c r="C278" s="16" t="n"/>
      <c r="D278" s="16" t="n"/>
      <c r="E278" s="16" t="n"/>
      <c r="F278" s="16" t="n"/>
      <c r="G278" s="16" t="n"/>
      <c r="H278" s="16" t="n"/>
      <c r="I278" s="16" t="n"/>
      <c r="J278" s="16" t="n"/>
      <c r="K278" s="16" t="n"/>
      <c r="L278" s="16" t="n"/>
      <c r="M278" s="16" t="n"/>
      <c r="N278" s="16" t="n"/>
      <c r="O278" s="16" t="n"/>
      <c r="P278" s="16" t="n"/>
      <c r="Q278" s="16" t="n"/>
      <c r="R278" s="16" t="n"/>
      <c r="S278" s="16" t="n"/>
      <c r="T278" s="16" t="n"/>
      <c r="U278" s="16" t="n"/>
      <c r="V278" s="16" t="n"/>
      <c r="W278" s="16" t="n"/>
      <c r="X278" s="16" t="n"/>
      <c r="Y278" s="16" t="n"/>
      <c r="Z278" s="16" t="n"/>
      <c r="AA278" s="16" t="n"/>
    </row>
    <row r="279">
      <c r="A279" s="16" t="n"/>
      <c r="B279" s="16" t="n"/>
      <c r="C279" s="16" t="n"/>
      <c r="D279" s="16" t="n"/>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c r="AA279" s="16" t="n"/>
    </row>
    <row r="280">
      <c r="A280" s="16" t="n"/>
      <c r="B280" s="16" t="n"/>
      <c r="C280" s="16" t="n"/>
      <c r="D280" s="16" t="n"/>
      <c r="E280" s="16" t="n"/>
      <c r="F280" s="16" t="n"/>
      <c r="G280" s="16" t="n"/>
      <c r="H280" s="16" t="n"/>
      <c r="I280" s="16" t="n"/>
      <c r="J280" s="16" t="n"/>
      <c r="K280" s="16" t="n"/>
      <c r="L280" s="16" t="n"/>
      <c r="M280" s="16" t="n"/>
      <c r="N280" s="16" t="n"/>
      <c r="O280" s="16" t="n"/>
      <c r="P280" s="16" t="n"/>
      <c r="Q280" s="16" t="n"/>
      <c r="R280" s="16" t="n"/>
      <c r="S280" s="16" t="n"/>
      <c r="T280" s="16" t="n"/>
      <c r="U280" s="16" t="n"/>
      <c r="V280" s="16" t="n"/>
      <c r="W280" s="16" t="n"/>
      <c r="X280" s="16" t="n"/>
      <c r="Y280" s="16" t="n"/>
      <c r="Z280" s="16" t="n"/>
      <c r="AA280" s="16" t="n"/>
    </row>
    <row r="281">
      <c r="A281" s="16" t="n"/>
      <c r="B281" s="16" t="n"/>
      <c r="C281" s="16" t="n"/>
      <c r="D281" s="16" t="n"/>
      <c r="E281" s="16" t="n"/>
      <c r="F281" s="16" t="n"/>
      <c r="G281" s="16" t="n"/>
      <c r="H281" s="16" t="n"/>
      <c r="I281" s="16" t="n"/>
      <c r="J281" s="16" t="n"/>
      <c r="K281" s="16" t="n"/>
      <c r="L281" s="16" t="n"/>
      <c r="M281" s="16" t="n"/>
      <c r="N281" s="16" t="n"/>
      <c r="O281" s="16" t="n"/>
      <c r="P281" s="16" t="n"/>
      <c r="Q281" s="16" t="n"/>
      <c r="R281" s="16" t="n"/>
      <c r="S281" s="16" t="n"/>
      <c r="T281" s="16" t="n"/>
      <c r="U281" s="16" t="n"/>
      <c r="V281" s="16" t="n"/>
      <c r="W281" s="16" t="n"/>
      <c r="X281" s="16" t="n"/>
      <c r="Y281" s="16" t="n"/>
      <c r="Z281" s="16" t="n"/>
      <c r="AA281" s="16" t="n"/>
    </row>
    <row r="282">
      <c r="A282" s="16" t="n"/>
      <c r="B282" s="16" t="n"/>
      <c r="C282" s="16" t="n"/>
      <c r="D282" s="16" t="n"/>
      <c r="E282" s="16" t="n"/>
      <c r="F282" s="16" t="n"/>
      <c r="G282" s="16" t="n"/>
      <c r="H282" s="16" t="n"/>
      <c r="I282" s="16" t="n"/>
      <c r="J282" s="16" t="n"/>
      <c r="K282" s="16" t="n"/>
      <c r="L282" s="16" t="n"/>
      <c r="M282" s="16" t="n"/>
      <c r="N282" s="16" t="n"/>
      <c r="O282" s="16" t="n"/>
      <c r="P282" s="16" t="n"/>
      <c r="Q282" s="16" t="n"/>
      <c r="R282" s="16" t="n"/>
      <c r="S282" s="16" t="n"/>
      <c r="T282" s="16" t="n"/>
      <c r="U282" s="16" t="n"/>
      <c r="V282" s="16" t="n"/>
      <c r="W282" s="16" t="n"/>
      <c r="X282" s="16" t="n"/>
      <c r="Y282" s="16" t="n"/>
      <c r="Z282" s="16" t="n"/>
      <c r="AA282" s="16" t="n"/>
    </row>
    <row r="283">
      <c r="A283" s="16" t="n"/>
      <c r="B283" s="16" t="n"/>
      <c r="C283" s="16" t="n"/>
      <c r="D283" s="16" t="n"/>
      <c r="E283" s="16" t="n"/>
      <c r="F283" s="16" t="n"/>
      <c r="G283" s="16" t="n"/>
      <c r="H283" s="16" t="n"/>
      <c r="I283" s="16" t="n"/>
      <c r="J283" s="16" t="n"/>
      <c r="K283" s="16" t="n"/>
      <c r="L283" s="16" t="n"/>
      <c r="M283" s="16" t="n"/>
      <c r="N283" s="16" t="n"/>
      <c r="O283" s="16" t="n"/>
      <c r="P283" s="16" t="n"/>
      <c r="Q283" s="16" t="n"/>
      <c r="R283" s="16" t="n"/>
      <c r="S283" s="16" t="n"/>
      <c r="T283" s="16" t="n"/>
      <c r="U283" s="16" t="n"/>
      <c r="V283" s="16" t="n"/>
      <c r="W283" s="16" t="n"/>
      <c r="X283" s="16" t="n"/>
      <c r="Y283" s="16" t="n"/>
      <c r="Z283" s="16" t="n"/>
      <c r="AA283" s="16" t="n"/>
    </row>
    <row r="284">
      <c r="A284" s="16" t="n"/>
      <c r="B284" s="16" t="n"/>
      <c r="C284" s="16" t="n"/>
      <c r="D284" s="16" t="n"/>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row>
    <row r="285">
      <c r="A285" s="16" t="n"/>
      <c r="B285" s="16" t="n"/>
      <c r="C285" s="16" t="n"/>
      <c r="D285" s="16" t="n"/>
      <c r="E285" s="16" t="n"/>
      <c r="F285" s="16" t="n"/>
      <c r="G285" s="16" t="n"/>
      <c r="H285" s="16" t="n"/>
      <c r="I285" s="16" t="n"/>
      <c r="J285" s="16" t="n"/>
      <c r="K285" s="16" t="n"/>
      <c r="L285" s="16" t="n"/>
      <c r="M285" s="16" t="n"/>
      <c r="N285" s="16" t="n"/>
      <c r="O285" s="16" t="n"/>
      <c r="P285" s="16" t="n"/>
      <c r="Q285" s="16" t="n"/>
      <c r="R285" s="16" t="n"/>
      <c r="S285" s="16" t="n"/>
      <c r="T285" s="16" t="n"/>
      <c r="U285" s="16" t="n"/>
      <c r="V285" s="16" t="n"/>
      <c r="W285" s="16" t="n"/>
      <c r="X285" s="16" t="n"/>
      <c r="Y285" s="16" t="n"/>
      <c r="Z285" s="16" t="n"/>
      <c r="AA285" s="16" t="n"/>
    </row>
    <row r="286">
      <c r="A286" s="16" t="n"/>
      <c r="B286" s="16" t="n"/>
      <c r="C286" s="16" t="n"/>
      <c r="D286" s="16" t="n"/>
      <c r="E286" s="16" t="n"/>
      <c r="F286" s="16" t="n"/>
      <c r="G286" s="16" t="n"/>
      <c r="H286" s="16" t="n"/>
      <c r="I286" s="16" t="n"/>
      <c r="J286" s="16" t="n"/>
      <c r="K286" s="16" t="n"/>
      <c r="L286" s="16" t="n"/>
      <c r="M286" s="16" t="n"/>
      <c r="N286" s="16" t="n"/>
      <c r="O286" s="16" t="n"/>
      <c r="P286" s="16" t="n"/>
      <c r="Q286" s="16" t="n"/>
      <c r="R286" s="16" t="n"/>
      <c r="S286" s="16" t="n"/>
      <c r="T286" s="16" t="n"/>
      <c r="U286" s="16" t="n"/>
      <c r="V286" s="16" t="n"/>
      <c r="W286" s="16" t="n"/>
      <c r="X286" s="16" t="n"/>
      <c r="Y286" s="16" t="n"/>
      <c r="Z286" s="16" t="n"/>
      <c r="AA286" s="16" t="n"/>
    </row>
    <row r="287">
      <c r="A287" s="16" t="n"/>
      <c r="B287" s="16" t="n"/>
      <c r="C287" s="16" t="n"/>
      <c r="D287" s="16" t="n"/>
      <c r="E287" s="16" t="n"/>
      <c r="F287" s="16" t="n"/>
      <c r="G287" s="16" t="n"/>
      <c r="H287" s="16" t="n"/>
      <c r="I287" s="16" t="n"/>
      <c r="J287" s="16" t="n"/>
      <c r="K287" s="16" t="n"/>
      <c r="L287" s="16" t="n"/>
      <c r="M287" s="16" t="n"/>
      <c r="N287" s="16" t="n"/>
      <c r="O287" s="16" t="n"/>
      <c r="P287" s="16" t="n"/>
      <c r="Q287" s="16" t="n"/>
      <c r="R287" s="16" t="n"/>
      <c r="S287" s="16" t="n"/>
      <c r="T287" s="16" t="n"/>
      <c r="U287" s="16" t="n"/>
      <c r="V287" s="16" t="n"/>
      <c r="W287" s="16" t="n"/>
      <c r="X287" s="16" t="n"/>
      <c r="Y287" s="16" t="n"/>
      <c r="Z287" s="16" t="n"/>
      <c r="AA287" s="16" t="n"/>
    </row>
    <row r="288">
      <c r="A288" s="16" t="n"/>
      <c r="B288" s="16" t="n"/>
      <c r="C288" s="16" t="n"/>
      <c r="D288" s="16" t="n"/>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c r="AA288" s="16" t="n"/>
    </row>
    <row r="289">
      <c r="A289" s="16" t="n"/>
      <c r="B289" s="16" t="n"/>
      <c r="C289" s="16" t="n"/>
      <c r="D289" s="16" t="n"/>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c r="AA289" s="16" t="n"/>
    </row>
    <row r="290">
      <c r="A290" s="16" t="n"/>
      <c r="B290" s="16" t="n"/>
      <c r="C290" s="16" t="n"/>
      <c r="D290" s="16" t="n"/>
      <c r="E290" s="16" t="n"/>
      <c r="F290" s="16" t="n"/>
      <c r="G290" s="16" t="n"/>
      <c r="H290" s="16" t="n"/>
      <c r="I290" s="16" t="n"/>
      <c r="J290" s="16" t="n"/>
      <c r="K290" s="16" t="n"/>
      <c r="L290" s="16" t="n"/>
      <c r="M290" s="16" t="n"/>
      <c r="N290" s="16" t="n"/>
      <c r="O290" s="16" t="n"/>
      <c r="P290" s="16" t="n"/>
      <c r="Q290" s="16" t="n"/>
      <c r="R290" s="16" t="n"/>
      <c r="S290" s="16" t="n"/>
      <c r="T290" s="16" t="n"/>
      <c r="U290" s="16" t="n"/>
      <c r="V290" s="16" t="n"/>
      <c r="W290" s="16" t="n"/>
      <c r="X290" s="16" t="n"/>
      <c r="Y290" s="16" t="n"/>
      <c r="Z290" s="16" t="n"/>
      <c r="AA290" s="16" t="n"/>
    </row>
    <row r="291">
      <c r="A291" s="16" t="n"/>
      <c r="B291" s="16" t="n"/>
      <c r="C291" s="16" t="n"/>
      <c r="D291" s="16" t="n"/>
      <c r="E291" s="16" t="n"/>
      <c r="F291" s="16" t="n"/>
      <c r="G291" s="16" t="n"/>
      <c r="H291" s="16" t="n"/>
      <c r="I291" s="16" t="n"/>
      <c r="J291" s="16" t="n"/>
      <c r="K291" s="16" t="n"/>
      <c r="L291" s="16" t="n"/>
      <c r="M291" s="16" t="n"/>
      <c r="N291" s="16" t="n"/>
      <c r="O291" s="16" t="n"/>
      <c r="P291" s="16" t="n"/>
      <c r="Q291" s="16" t="n"/>
      <c r="R291" s="16" t="n"/>
      <c r="S291" s="16" t="n"/>
      <c r="T291" s="16" t="n"/>
      <c r="U291" s="16" t="n"/>
      <c r="V291" s="16" t="n"/>
      <c r="W291" s="16" t="n"/>
      <c r="X291" s="16" t="n"/>
      <c r="Y291" s="16" t="n"/>
      <c r="Z291" s="16" t="n"/>
      <c r="AA291" s="16" t="n"/>
    </row>
    <row r="292">
      <c r="A292" s="16" t="n"/>
      <c r="B292" s="16" t="n"/>
      <c r="C292" s="16" t="n"/>
      <c r="D292" s="16" t="n"/>
      <c r="E292" s="16" t="n"/>
      <c r="F292" s="16" t="n"/>
      <c r="G292" s="16" t="n"/>
      <c r="H292" s="16" t="n"/>
      <c r="I292" s="16" t="n"/>
      <c r="J292" s="16" t="n"/>
      <c r="K292" s="16" t="n"/>
      <c r="L292" s="16" t="n"/>
      <c r="M292" s="16" t="n"/>
      <c r="N292" s="16" t="n"/>
      <c r="O292" s="16" t="n"/>
      <c r="P292" s="16" t="n"/>
      <c r="Q292" s="16" t="n"/>
      <c r="R292" s="16" t="n"/>
      <c r="S292" s="16" t="n"/>
      <c r="T292" s="16" t="n"/>
      <c r="U292" s="16" t="n"/>
      <c r="V292" s="16" t="n"/>
      <c r="W292" s="16" t="n"/>
      <c r="X292" s="16" t="n"/>
      <c r="Y292" s="16" t="n"/>
      <c r="Z292" s="16" t="n"/>
      <c r="AA292" s="16" t="n"/>
    </row>
    <row r="293">
      <c r="A293" s="16" t="n"/>
      <c r="B293" s="16" t="n"/>
      <c r="C293" s="16" t="n"/>
      <c r="D293" s="16" t="n"/>
      <c r="E293" s="16" t="n"/>
      <c r="F293" s="16" t="n"/>
      <c r="G293" s="16" t="n"/>
      <c r="H293" s="16" t="n"/>
      <c r="I293" s="16" t="n"/>
      <c r="J293" s="16" t="n"/>
      <c r="K293" s="16" t="n"/>
      <c r="L293" s="16" t="n"/>
      <c r="M293" s="16" t="n"/>
      <c r="N293" s="16" t="n"/>
      <c r="O293" s="16" t="n"/>
      <c r="P293" s="16" t="n"/>
      <c r="Q293" s="16" t="n"/>
      <c r="R293" s="16" t="n"/>
      <c r="S293" s="16" t="n"/>
      <c r="T293" s="16" t="n"/>
      <c r="U293" s="16" t="n"/>
      <c r="V293" s="16" t="n"/>
      <c r="W293" s="16" t="n"/>
      <c r="X293" s="16" t="n"/>
      <c r="Y293" s="16" t="n"/>
      <c r="Z293" s="16" t="n"/>
      <c r="AA293" s="16" t="n"/>
    </row>
    <row r="294">
      <c r="A294" s="16" t="n"/>
      <c r="B294" s="16" t="n"/>
      <c r="C294" s="16" t="n"/>
      <c r="D294" s="16" t="n"/>
      <c r="E294" s="16" t="n"/>
      <c r="F294" s="16" t="n"/>
      <c r="G294" s="16" t="n"/>
      <c r="H294" s="16" t="n"/>
      <c r="I294" s="16" t="n"/>
      <c r="J294" s="16" t="n"/>
      <c r="K294" s="16" t="n"/>
      <c r="L294" s="16" t="n"/>
      <c r="M294" s="16" t="n"/>
      <c r="N294" s="16" t="n"/>
      <c r="O294" s="16" t="n"/>
      <c r="P294" s="16" t="n"/>
      <c r="Q294" s="16" t="n"/>
      <c r="R294" s="16" t="n"/>
      <c r="S294" s="16" t="n"/>
      <c r="T294" s="16" t="n"/>
      <c r="U294" s="16" t="n"/>
      <c r="V294" s="16" t="n"/>
      <c r="W294" s="16" t="n"/>
      <c r="X294" s="16" t="n"/>
      <c r="Y294" s="16" t="n"/>
      <c r="Z294" s="16" t="n"/>
      <c r="AA294" s="16" t="n"/>
    </row>
    <row r="295">
      <c r="A295" s="16" t="n"/>
      <c r="B295" s="16" t="n"/>
      <c r="C295" s="16" t="n"/>
      <c r="D295" s="16" t="n"/>
      <c r="E295" s="16" t="n"/>
      <c r="F295" s="16" t="n"/>
      <c r="G295" s="16" t="n"/>
      <c r="H295" s="16" t="n"/>
      <c r="I295" s="16" t="n"/>
      <c r="J295" s="16" t="n"/>
      <c r="K295" s="16" t="n"/>
      <c r="L295" s="16" t="n"/>
      <c r="M295" s="16" t="n"/>
      <c r="N295" s="16" t="n"/>
      <c r="O295" s="16" t="n"/>
      <c r="P295" s="16" t="n"/>
      <c r="Q295" s="16" t="n"/>
      <c r="R295" s="16" t="n"/>
      <c r="S295" s="16" t="n"/>
      <c r="T295" s="16" t="n"/>
      <c r="U295" s="16" t="n"/>
      <c r="V295" s="16" t="n"/>
      <c r="W295" s="16" t="n"/>
      <c r="X295" s="16" t="n"/>
      <c r="Y295" s="16" t="n"/>
      <c r="Z295" s="16" t="n"/>
      <c r="AA295" s="16" t="n"/>
    </row>
    <row r="296">
      <c r="A296" s="16" t="n"/>
      <c r="B296" s="16" t="n"/>
      <c r="C296" s="16" t="n"/>
      <c r="D296" s="16" t="n"/>
      <c r="E296" s="16" t="n"/>
      <c r="F296" s="16" t="n"/>
      <c r="G296" s="16" t="n"/>
      <c r="H296" s="16" t="n"/>
      <c r="I296" s="16" t="n"/>
      <c r="J296" s="16" t="n"/>
      <c r="K296" s="16" t="n"/>
      <c r="L296" s="16" t="n"/>
      <c r="M296" s="16" t="n"/>
      <c r="N296" s="16" t="n"/>
      <c r="O296" s="16" t="n"/>
      <c r="P296" s="16" t="n"/>
      <c r="Q296" s="16" t="n"/>
      <c r="R296" s="16" t="n"/>
      <c r="S296" s="16" t="n"/>
      <c r="T296" s="16" t="n"/>
      <c r="U296" s="16" t="n"/>
      <c r="V296" s="16" t="n"/>
      <c r="W296" s="16" t="n"/>
      <c r="X296" s="16" t="n"/>
      <c r="Y296" s="16" t="n"/>
      <c r="Z296" s="16" t="n"/>
      <c r="AA296" s="16" t="n"/>
    </row>
    <row r="297">
      <c r="A297" s="16" t="n"/>
      <c r="B297" s="16" t="n"/>
      <c r="C297" s="16" t="n"/>
      <c r="D297" s="16" t="n"/>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c r="AA297" s="16" t="n"/>
    </row>
    <row r="298">
      <c r="A298" s="16" t="n"/>
      <c r="B298" s="16" t="n"/>
      <c r="C298" s="16" t="n"/>
      <c r="D298" s="16" t="n"/>
      <c r="E298" s="16" t="n"/>
      <c r="F298" s="16" t="n"/>
      <c r="G298" s="16" t="n"/>
      <c r="H298" s="16" t="n"/>
      <c r="I298" s="16" t="n"/>
      <c r="J298" s="16" t="n"/>
      <c r="K298" s="16" t="n"/>
      <c r="L298" s="16" t="n"/>
      <c r="M298" s="16" t="n"/>
      <c r="N298" s="16" t="n"/>
      <c r="O298" s="16" t="n"/>
      <c r="P298" s="16" t="n"/>
      <c r="Q298" s="16" t="n"/>
      <c r="R298" s="16" t="n"/>
      <c r="S298" s="16" t="n"/>
      <c r="T298" s="16" t="n"/>
      <c r="U298" s="16" t="n"/>
      <c r="V298" s="16" t="n"/>
      <c r="W298" s="16" t="n"/>
      <c r="X298" s="16" t="n"/>
      <c r="Y298" s="16" t="n"/>
      <c r="Z298" s="16" t="n"/>
      <c r="AA298" s="16" t="n"/>
    </row>
    <row r="299">
      <c r="A299" s="16" t="n"/>
      <c r="B299" s="16" t="n"/>
      <c r="C299" s="16" t="n"/>
      <c r="D299" s="16" t="n"/>
      <c r="E299" s="16" t="n"/>
      <c r="F299" s="16" t="n"/>
      <c r="G299" s="16" t="n"/>
      <c r="H299" s="16" t="n"/>
      <c r="I299" s="16" t="n"/>
      <c r="J299" s="16" t="n"/>
      <c r="K299" s="16" t="n"/>
      <c r="L299" s="16" t="n"/>
      <c r="M299" s="16" t="n"/>
      <c r="N299" s="16" t="n"/>
      <c r="O299" s="16" t="n"/>
      <c r="P299" s="16" t="n"/>
      <c r="Q299" s="16" t="n"/>
      <c r="R299" s="16" t="n"/>
      <c r="S299" s="16" t="n"/>
      <c r="T299" s="16" t="n"/>
      <c r="U299" s="16" t="n"/>
      <c r="V299" s="16" t="n"/>
      <c r="W299" s="16" t="n"/>
      <c r="X299" s="16" t="n"/>
      <c r="Y299" s="16" t="n"/>
      <c r="Z299" s="16" t="n"/>
      <c r="AA299" s="16" t="n"/>
    </row>
    <row r="300">
      <c r="A300" s="16" t="n"/>
      <c r="B300" s="16" t="n"/>
      <c r="C300" s="16" t="n"/>
      <c r="D300" s="16" t="n"/>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c r="AA300" s="16" t="n"/>
    </row>
    <row r="301">
      <c r="A301" s="16" t="n"/>
      <c r="B301" s="16" t="n"/>
      <c r="C301" s="16" t="n"/>
      <c r="D301" s="16" t="n"/>
      <c r="E301" s="16" t="n"/>
      <c r="F301" s="16" t="n"/>
      <c r="G301" s="16" t="n"/>
      <c r="H301" s="16" t="n"/>
      <c r="I301" s="16" t="n"/>
      <c r="J301" s="16" t="n"/>
      <c r="K301" s="16" t="n"/>
      <c r="L301" s="16" t="n"/>
      <c r="M301" s="16" t="n"/>
      <c r="N301" s="16" t="n"/>
      <c r="O301" s="16" t="n"/>
      <c r="P301" s="16" t="n"/>
      <c r="Q301" s="16" t="n"/>
      <c r="R301" s="16" t="n"/>
      <c r="S301" s="16" t="n"/>
      <c r="T301" s="16" t="n"/>
      <c r="U301" s="16" t="n"/>
      <c r="V301" s="16" t="n"/>
      <c r="W301" s="16" t="n"/>
      <c r="X301" s="16" t="n"/>
      <c r="Y301" s="16" t="n"/>
      <c r="Z301" s="16" t="n"/>
      <c r="AA301" s="16" t="n"/>
    </row>
    <row r="302">
      <c r="A302" s="16" t="n"/>
      <c r="B302" s="16" t="n"/>
      <c r="C302" s="16" t="n"/>
      <c r="D302" s="16" t="n"/>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c r="AA302" s="16" t="n"/>
    </row>
    <row r="303">
      <c r="A303" s="16" t="n"/>
      <c r="B303" s="16" t="n"/>
      <c r="C303" s="16" t="n"/>
      <c r="D303" s="16" t="n"/>
      <c r="E303" s="16" t="n"/>
      <c r="F303" s="16" t="n"/>
      <c r="G303" s="16" t="n"/>
      <c r="H303" s="16" t="n"/>
      <c r="I303" s="16" t="n"/>
      <c r="J303" s="16" t="n"/>
      <c r="K303" s="16" t="n"/>
      <c r="L303" s="16" t="n"/>
      <c r="M303" s="16" t="n"/>
      <c r="N303" s="16" t="n"/>
      <c r="O303" s="16" t="n"/>
      <c r="P303" s="16" t="n"/>
      <c r="Q303" s="16" t="n"/>
      <c r="R303" s="16" t="n"/>
      <c r="S303" s="16" t="n"/>
      <c r="T303" s="16" t="n"/>
      <c r="U303" s="16" t="n"/>
      <c r="V303" s="16" t="n"/>
      <c r="W303" s="16" t="n"/>
      <c r="X303" s="16" t="n"/>
      <c r="Y303" s="16" t="n"/>
      <c r="Z303" s="16" t="n"/>
      <c r="AA303" s="16" t="n"/>
    </row>
    <row r="304">
      <c r="A304" s="16" t="n"/>
      <c r="B304" s="16" t="n"/>
      <c r="C304" s="16" t="n"/>
      <c r="D304" s="16" t="n"/>
      <c r="E304" s="16" t="n"/>
      <c r="F304" s="16" t="n"/>
      <c r="G304" s="16" t="n"/>
      <c r="H304" s="16" t="n"/>
      <c r="I304" s="16" t="n"/>
      <c r="J304" s="16" t="n"/>
      <c r="K304" s="16" t="n"/>
      <c r="L304" s="16" t="n"/>
      <c r="M304" s="16" t="n"/>
      <c r="N304" s="16" t="n"/>
      <c r="O304" s="16" t="n"/>
      <c r="P304" s="16" t="n"/>
      <c r="Q304" s="16" t="n"/>
      <c r="R304" s="16" t="n"/>
      <c r="S304" s="16" t="n"/>
      <c r="T304" s="16" t="n"/>
      <c r="U304" s="16" t="n"/>
      <c r="V304" s="16" t="n"/>
      <c r="W304" s="16" t="n"/>
      <c r="X304" s="16" t="n"/>
      <c r="Y304" s="16" t="n"/>
      <c r="Z304" s="16" t="n"/>
      <c r="AA304" s="16" t="n"/>
    </row>
    <row r="305">
      <c r="A305" s="16" t="n"/>
      <c r="B305" s="16" t="n"/>
      <c r="C305" s="16" t="n"/>
      <c r="D305" s="16" t="n"/>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row>
    <row r="306">
      <c r="A306" s="16" t="n"/>
      <c r="B306" s="16" t="n"/>
      <c r="C306" s="16" t="n"/>
      <c r="D306" s="16" t="n"/>
      <c r="E306" s="16" t="n"/>
      <c r="F306" s="16" t="n"/>
      <c r="G306" s="16" t="n"/>
      <c r="H306" s="16" t="n"/>
      <c r="I306" s="16" t="n"/>
      <c r="J306" s="16" t="n"/>
      <c r="K306" s="16" t="n"/>
      <c r="L306" s="16" t="n"/>
      <c r="M306" s="16" t="n"/>
      <c r="N306" s="16" t="n"/>
      <c r="O306" s="16" t="n"/>
      <c r="P306" s="16" t="n"/>
      <c r="Q306" s="16" t="n"/>
      <c r="R306" s="16" t="n"/>
      <c r="S306" s="16" t="n"/>
      <c r="T306" s="16" t="n"/>
      <c r="U306" s="16" t="n"/>
      <c r="V306" s="16" t="n"/>
      <c r="W306" s="16" t="n"/>
      <c r="X306" s="16" t="n"/>
      <c r="Y306" s="16" t="n"/>
      <c r="Z306" s="16" t="n"/>
      <c r="AA306" s="16" t="n"/>
    </row>
    <row r="307">
      <c r="A307" s="16" t="n"/>
      <c r="B307" s="16" t="n"/>
      <c r="C307" s="16" t="n"/>
      <c r="D307" s="16" t="n"/>
      <c r="E307" s="16" t="n"/>
      <c r="F307" s="16" t="n"/>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c r="AA307" s="16" t="n"/>
    </row>
    <row r="308">
      <c r="A308" s="16" t="n"/>
      <c r="B308" s="16" t="n"/>
      <c r="C308" s="16" t="n"/>
      <c r="D308" s="16" t="n"/>
      <c r="E308" s="16" t="n"/>
      <c r="F308" s="16" t="n"/>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c r="AA308" s="16" t="n"/>
    </row>
    <row r="309">
      <c r="A309" s="16" t="n"/>
      <c r="B309" s="16" t="n"/>
      <c r="C309" s="16" t="n"/>
      <c r="D309" s="16" t="n"/>
      <c r="E309" s="16" t="n"/>
      <c r="F309" s="16" t="n"/>
      <c r="G309" s="16" t="n"/>
      <c r="H309" s="16" t="n"/>
      <c r="I309" s="16" t="n"/>
      <c r="J309" s="16" t="n"/>
      <c r="K309" s="16" t="n"/>
      <c r="L309" s="16" t="n"/>
      <c r="M309" s="16" t="n"/>
      <c r="N309" s="16" t="n"/>
      <c r="O309" s="16" t="n"/>
      <c r="P309" s="16" t="n"/>
      <c r="Q309" s="16" t="n"/>
      <c r="R309" s="16" t="n"/>
      <c r="S309" s="16" t="n"/>
      <c r="T309" s="16" t="n"/>
      <c r="U309" s="16" t="n"/>
      <c r="V309" s="16" t="n"/>
      <c r="W309" s="16" t="n"/>
      <c r="X309" s="16" t="n"/>
      <c r="Y309" s="16" t="n"/>
      <c r="Z309" s="16" t="n"/>
      <c r="AA309" s="16" t="n"/>
    </row>
    <row r="310">
      <c r="A310" s="16" t="n"/>
      <c r="B310" s="16" t="n"/>
      <c r="C310" s="16" t="n"/>
      <c r="D310" s="16" t="n"/>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c r="AA310" s="16" t="n"/>
    </row>
    <row r="311">
      <c r="A311" s="16" t="n"/>
      <c r="B311" s="16" t="n"/>
      <c r="C311" s="16" t="n"/>
      <c r="D311" s="16" t="n"/>
      <c r="E311" s="16" t="n"/>
      <c r="F311" s="16" t="n"/>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c r="AA311" s="16" t="n"/>
    </row>
    <row r="312">
      <c r="A312" s="16" t="n"/>
      <c r="B312" s="16" t="n"/>
      <c r="C312" s="16" t="n"/>
      <c r="D312" s="16" t="n"/>
      <c r="E312" s="16" t="n"/>
      <c r="F312" s="16" t="n"/>
      <c r="G312" s="16" t="n"/>
      <c r="H312" s="16" t="n"/>
      <c r="I312" s="16" t="n"/>
      <c r="J312" s="16" t="n"/>
      <c r="K312" s="16" t="n"/>
      <c r="L312" s="16" t="n"/>
      <c r="M312" s="16" t="n"/>
      <c r="N312" s="16" t="n"/>
      <c r="O312" s="16" t="n"/>
      <c r="P312" s="16" t="n"/>
      <c r="Q312" s="16" t="n"/>
      <c r="R312" s="16" t="n"/>
      <c r="S312" s="16" t="n"/>
      <c r="T312" s="16" t="n"/>
      <c r="U312" s="16" t="n"/>
      <c r="V312" s="16" t="n"/>
      <c r="W312" s="16" t="n"/>
      <c r="X312" s="16" t="n"/>
      <c r="Y312" s="16" t="n"/>
      <c r="Z312" s="16" t="n"/>
      <c r="AA312" s="16" t="n"/>
    </row>
    <row r="313">
      <c r="A313" s="16" t="n"/>
      <c r="B313" s="16" t="n"/>
      <c r="C313" s="16" t="n"/>
      <c r="D313" s="16" t="n"/>
      <c r="E313" s="16" t="n"/>
      <c r="F313" s="16" t="n"/>
      <c r="G313" s="16" t="n"/>
      <c r="H313" s="16" t="n"/>
      <c r="I313" s="16" t="n"/>
      <c r="J313" s="16" t="n"/>
      <c r="K313" s="16" t="n"/>
      <c r="L313" s="16" t="n"/>
      <c r="M313" s="16" t="n"/>
      <c r="N313" s="16" t="n"/>
      <c r="O313" s="16" t="n"/>
      <c r="P313" s="16" t="n"/>
      <c r="Q313" s="16" t="n"/>
      <c r="R313" s="16" t="n"/>
      <c r="S313" s="16" t="n"/>
      <c r="T313" s="16" t="n"/>
      <c r="U313" s="16" t="n"/>
      <c r="V313" s="16" t="n"/>
      <c r="W313" s="16" t="n"/>
      <c r="X313" s="16" t="n"/>
      <c r="Y313" s="16" t="n"/>
      <c r="Z313" s="16" t="n"/>
      <c r="AA313" s="16" t="n"/>
    </row>
    <row r="314">
      <c r="A314" s="16" t="n"/>
      <c r="B314" s="16" t="n"/>
      <c r="C314" s="16" t="n"/>
      <c r="D314" s="16" t="n"/>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c r="AA314" s="16" t="n"/>
    </row>
    <row r="315">
      <c r="A315" s="16" t="n"/>
      <c r="B315" s="16" t="n"/>
      <c r="C315" s="16" t="n"/>
      <c r="D315" s="16" t="n"/>
      <c r="E315" s="16" t="n"/>
      <c r="F315" s="16" t="n"/>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c r="AA315" s="16" t="n"/>
    </row>
    <row r="316">
      <c r="A316" s="16" t="n"/>
      <c r="B316" s="16" t="n"/>
      <c r="C316" s="16" t="n"/>
      <c r="D316" s="16" t="n"/>
      <c r="E316" s="16" t="n"/>
      <c r="F316" s="16" t="n"/>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6" t="n"/>
    </row>
    <row r="317">
      <c r="A317" s="16" t="n"/>
      <c r="B317" s="16" t="n"/>
      <c r="C317" s="16" t="n"/>
      <c r="D317" s="16" t="n"/>
      <c r="E317" s="16" t="n"/>
      <c r="F317" s="16" t="n"/>
      <c r="G317" s="16" t="n"/>
      <c r="H317" s="16" t="n"/>
      <c r="I317" s="16" t="n"/>
      <c r="J317" s="16" t="n"/>
      <c r="K317" s="16" t="n"/>
      <c r="L317" s="16" t="n"/>
      <c r="M317" s="16" t="n"/>
      <c r="N317" s="16" t="n"/>
      <c r="O317" s="16" t="n"/>
      <c r="P317" s="16" t="n"/>
      <c r="Q317" s="16" t="n"/>
      <c r="R317" s="16" t="n"/>
      <c r="S317" s="16" t="n"/>
      <c r="T317" s="16" t="n"/>
      <c r="U317" s="16" t="n"/>
      <c r="V317" s="16" t="n"/>
      <c r="W317" s="16" t="n"/>
      <c r="X317" s="16" t="n"/>
      <c r="Y317" s="16" t="n"/>
      <c r="Z317" s="16" t="n"/>
      <c r="AA317" s="16" t="n"/>
    </row>
    <row r="318">
      <c r="A318" s="16" t="n"/>
      <c r="B318" s="16" t="n"/>
      <c r="C318" s="16" t="n"/>
      <c r="D318" s="16" t="n"/>
      <c r="E318" s="16" t="n"/>
      <c r="F318" s="16" t="n"/>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c r="AA318" s="16" t="n"/>
    </row>
    <row r="319">
      <c r="A319" s="16" t="n"/>
      <c r="B319" s="16" t="n"/>
      <c r="C319" s="16" t="n"/>
      <c r="D319" s="16" t="n"/>
      <c r="E319" s="16" t="n"/>
      <c r="F319" s="16" t="n"/>
      <c r="G319" s="16" t="n"/>
      <c r="H319" s="16" t="n"/>
      <c r="I319" s="16" t="n"/>
      <c r="J319" s="16" t="n"/>
      <c r="K319" s="16" t="n"/>
      <c r="L319" s="16" t="n"/>
      <c r="M319" s="16" t="n"/>
      <c r="N319" s="16" t="n"/>
      <c r="O319" s="16" t="n"/>
      <c r="P319" s="16" t="n"/>
      <c r="Q319" s="16" t="n"/>
      <c r="R319" s="16" t="n"/>
      <c r="S319" s="16" t="n"/>
      <c r="T319" s="16" t="n"/>
      <c r="U319" s="16" t="n"/>
      <c r="V319" s="16" t="n"/>
      <c r="W319" s="16" t="n"/>
      <c r="X319" s="16" t="n"/>
      <c r="Y319" s="16" t="n"/>
      <c r="Z319" s="16" t="n"/>
      <c r="AA319" s="16" t="n"/>
    </row>
    <row r="320">
      <c r="A320" s="16" t="n"/>
      <c r="B320" s="16" t="n"/>
      <c r="C320" s="16" t="n"/>
      <c r="D320" s="16" t="n"/>
      <c r="E320" s="16" t="n"/>
      <c r="F320" s="16" t="n"/>
      <c r="G320" s="16" t="n"/>
      <c r="H320" s="16" t="n"/>
      <c r="I320" s="16" t="n"/>
      <c r="J320" s="16" t="n"/>
      <c r="K320" s="16" t="n"/>
      <c r="L320" s="16" t="n"/>
      <c r="M320" s="16" t="n"/>
      <c r="N320" s="16" t="n"/>
      <c r="O320" s="16" t="n"/>
      <c r="P320" s="16" t="n"/>
      <c r="Q320" s="16" t="n"/>
      <c r="R320" s="16" t="n"/>
      <c r="S320" s="16" t="n"/>
      <c r="T320" s="16" t="n"/>
      <c r="U320" s="16" t="n"/>
      <c r="V320" s="16" t="n"/>
      <c r="W320" s="16" t="n"/>
      <c r="X320" s="16" t="n"/>
      <c r="Y320" s="16" t="n"/>
      <c r="Z320" s="16" t="n"/>
      <c r="AA320" s="16" t="n"/>
    </row>
    <row r="321">
      <c r="A321" s="16" t="n"/>
      <c r="B321" s="16" t="n"/>
      <c r="C321" s="16" t="n"/>
      <c r="D321" s="16" t="n"/>
      <c r="E321" s="16" t="n"/>
      <c r="F321" s="16" t="n"/>
      <c r="G321" s="16" t="n"/>
      <c r="H321" s="16" t="n"/>
      <c r="I321" s="16" t="n"/>
      <c r="J321" s="16" t="n"/>
      <c r="K321" s="16" t="n"/>
      <c r="L321" s="16" t="n"/>
      <c r="M321" s="16" t="n"/>
      <c r="N321" s="16" t="n"/>
      <c r="O321" s="16" t="n"/>
      <c r="P321" s="16" t="n"/>
      <c r="Q321" s="16" t="n"/>
      <c r="R321" s="16" t="n"/>
      <c r="S321" s="16" t="n"/>
      <c r="T321" s="16" t="n"/>
      <c r="U321" s="16" t="n"/>
      <c r="V321" s="16" t="n"/>
      <c r="W321" s="16" t="n"/>
      <c r="X321" s="16" t="n"/>
      <c r="Y321" s="16" t="n"/>
      <c r="Z321" s="16" t="n"/>
      <c r="AA321" s="16" t="n"/>
    </row>
    <row r="322">
      <c r="A322" s="16" t="n"/>
      <c r="B322" s="16" t="n"/>
      <c r="C322" s="16" t="n"/>
      <c r="D322" s="16" t="n"/>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c r="AA322" s="16" t="n"/>
    </row>
    <row r="323">
      <c r="A323" s="16" t="n"/>
      <c r="B323" s="16" t="n"/>
      <c r="C323" s="16" t="n"/>
      <c r="D323" s="16" t="n"/>
      <c r="E323" s="16" t="n"/>
      <c r="F323" s="16" t="n"/>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6" t="n"/>
    </row>
    <row r="324">
      <c r="A324" s="16" t="n"/>
      <c r="B324" s="16" t="n"/>
      <c r="C324" s="16" t="n"/>
      <c r="D324" s="16" t="n"/>
      <c r="E324" s="16" t="n"/>
      <c r="F324" s="16" t="n"/>
      <c r="G324" s="16" t="n"/>
      <c r="H324" s="16" t="n"/>
      <c r="I324" s="16" t="n"/>
      <c r="J324" s="16" t="n"/>
      <c r="K324" s="16" t="n"/>
      <c r="L324" s="16" t="n"/>
      <c r="M324" s="16" t="n"/>
      <c r="N324" s="16" t="n"/>
      <c r="O324" s="16" t="n"/>
      <c r="P324" s="16" t="n"/>
      <c r="Q324" s="16" t="n"/>
      <c r="R324" s="16" t="n"/>
      <c r="S324" s="16" t="n"/>
      <c r="T324" s="16" t="n"/>
      <c r="U324" s="16" t="n"/>
      <c r="V324" s="16" t="n"/>
      <c r="W324" s="16" t="n"/>
      <c r="X324" s="16" t="n"/>
      <c r="Y324" s="16" t="n"/>
      <c r="Z324" s="16" t="n"/>
      <c r="AA324" s="16" t="n"/>
    </row>
    <row r="325">
      <c r="A325" s="16" t="n"/>
      <c r="B325" s="16" t="n"/>
      <c r="C325" s="16" t="n"/>
      <c r="D325" s="16" t="n"/>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c r="AA325" s="16" t="n"/>
    </row>
    <row r="326">
      <c r="A326" s="16" t="n"/>
      <c r="B326" s="16" t="n"/>
      <c r="C326" s="16" t="n"/>
      <c r="D326" s="16" t="n"/>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c r="AA326" s="16" t="n"/>
    </row>
    <row r="327">
      <c r="A327" s="16" t="n"/>
      <c r="B327" s="16" t="n"/>
      <c r="C327" s="16" t="n"/>
      <c r="D327" s="16" t="n"/>
      <c r="E327" s="16" t="n"/>
      <c r="F327" s="16" t="n"/>
      <c r="G327" s="16" t="n"/>
      <c r="H327" s="16" t="n"/>
      <c r="I327" s="16" t="n"/>
      <c r="J327" s="16" t="n"/>
      <c r="K327" s="16" t="n"/>
      <c r="L327" s="16" t="n"/>
      <c r="M327" s="16" t="n"/>
      <c r="N327" s="16" t="n"/>
      <c r="O327" s="16" t="n"/>
      <c r="P327" s="16" t="n"/>
      <c r="Q327" s="16" t="n"/>
      <c r="R327" s="16" t="n"/>
      <c r="S327" s="16" t="n"/>
      <c r="T327" s="16" t="n"/>
      <c r="U327" s="16" t="n"/>
      <c r="V327" s="16" t="n"/>
      <c r="W327" s="16" t="n"/>
      <c r="X327" s="16" t="n"/>
      <c r="Y327" s="16" t="n"/>
      <c r="Z327" s="16" t="n"/>
      <c r="AA327" s="16" t="n"/>
    </row>
    <row r="328">
      <c r="A328" s="16" t="n"/>
      <c r="B328" s="16" t="n"/>
      <c r="C328" s="16" t="n"/>
      <c r="D328" s="16" t="n"/>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c r="AA328" s="16" t="n"/>
    </row>
    <row r="329">
      <c r="A329" s="16" t="n"/>
      <c r="B329" s="16" t="n"/>
      <c r="C329" s="16" t="n"/>
      <c r="D329" s="16" t="n"/>
      <c r="E329" s="16" t="n"/>
      <c r="F329" s="16" t="n"/>
      <c r="G329" s="16" t="n"/>
      <c r="H329" s="16" t="n"/>
      <c r="I329" s="16" t="n"/>
      <c r="J329" s="16" t="n"/>
      <c r="K329" s="16" t="n"/>
      <c r="L329" s="16" t="n"/>
      <c r="M329" s="16" t="n"/>
      <c r="N329" s="16" t="n"/>
      <c r="O329" s="16" t="n"/>
      <c r="P329" s="16" t="n"/>
      <c r="Q329" s="16" t="n"/>
      <c r="R329" s="16" t="n"/>
      <c r="S329" s="16" t="n"/>
      <c r="T329" s="16" t="n"/>
      <c r="U329" s="16" t="n"/>
      <c r="V329" s="16" t="n"/>
      <c r="W329" s="16" t="n"/>
      <c r="X329" s="16" t="n"/>
      <c r="Y329" s="16" t="n"/>
      <c r="Z329" s="16" t="n"/>
      <c r="AA329" s="16" t="n"/>
    </row>
    <row r="330">
      <c r="A330" s="16" t="n"/>
      <c r="B330" s="16" t="n"/>
      <c r="C330" s="16" t="n"/>
      <c r="D330" s="16" t="n"/>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row>
    <row r="331">
      <c r="A331" s="16" t="n"/>
      <c r="B331" s="16" t="n"/>
      <c r="C331" s="16" t="n"/>
      <c r="D331" s="16" t="n"/>
      <c r="E331" s="16" t="n"/>
      <c r="F331" s="16" t="n"/>
      <c r="G331" s="16" t="n"/>
      <c r="H331" s="16" t="n"/>
      <c r="I331" s="16" t="n"/>
      <c r="J331" s="16" t="n"/>
      <c r="K331" s="16" t="n"/>
      <c r="L331" s="16" t="n"/>
      <c r="M331" s="16" t="n"/>
      <c r="N331" s="16" t="n"/>
      <c r="O331" s="16" t="n"/>
      <c r="P331" s="16" t="n"/>
      <c r="Q331" s="16" t="n"/>
      <c r="R331" s="16" t="n"/>
      <c r="S331" s="16" t="n"/>
      <c r="T331" s="16" t="n"/>
      <c r="U331" s="16" t="n"/>
      <c r="V331" s="16" t="n"/>
      <c r="W331" s="16" t="n"/>
      <c r="X331" s="16" t="n"/>
      <c r="Y331" s="16" t="n"/>
      <c r="Z331" s="16" t="n"/>
      <c r="AA331" s="16" t="n"/>
    </row>
    <row r="332">
      <c r="A332" s="16" t="n"/>
      <c r="B332" s="16" t="n"/>
      <c r="C332" s="16" t="n"/>
      <c r="D332" s="16" t="n"/>
      <c r="E332" s="16" t="n"/>
      <c r="F332" s="16" t="n"/>
      <c r="G332" s="16" t="n"/>
      <c r="H332" s="16" t="n"/>
      <c r="I332" s="16" t="n"/>
      <c r="J332" s="16" t="n"/>
      <c r="K332" s="16" t="n"/>
      <c r="L332" s="16" t="n"/>
      <c r="M332" s="16" t="n"/>
      <c r="N332" s="16" t="n"/>
      <c r="O332" s="16" t="n"/>
      <c r="P332" s="16" t="n"/>
      <c r="Q332" s="16" t="n"/>
      <c r="R332" s="16" t="n"/>
      <c r="S332" s="16" t="n"/>
      <c r="T332" s="16" t="n"/>
      <c r="U332" s="16" t="n"/>
      <c r="V332" s="16" t="n"/>
      <c r="W332" s="16" t="n"/>
      <c r="X332" s="16" t="n"/>
      <c r="Y332" s="16" t="n"/>
      <c r="Z332" s="16" t="n"/>
      <c r="AA332" s="16" t="n"/>
    </row>
    <row r="333">
      <c r="A333" s="16" t="n"/>
      <c r="B333" s="16" t="n"/>
      <c r="C333" s="16" t="n"/>
      <c r="D333" s="16" t="n"/>
      <c r="E333" s="16" t="n"/>
      <c r="F333" s="16" t="n"/>
      <c r="G333" s="16" t="n"/>
      <c r="H333" s="16" t="n"/>
      <c r="I333" s="16" t="n"/>
      <c r="J333" s="16" t="n"/>
      <c r="K333" s="16" t="n"/>
      <c r="L333" s="16" t="n"/>
      <c r="M333" s="16" t="n"/>
      <c r="N333" s="16" t="n"/>
      <c r="O333" s="16" t="n"/>
      <c r="P333" s="16" t="n"/>
      <c r="Q333" s="16" t="n"/>
      <c r="R333" s="16" t="n"/>
      <c r="S333" s="16" t="n"/>
      <c r="T333" s="16" t="n"/>
      <c r="U333" s="16" t="n"/>
      <c r="V333" s="16" t="n"/>
      <c r="W333" s="16" t="n"/>
      <c r="X333" s="16" t="n"/>
      <c r="Y333" s="16" t="n"/>
      <c r="Z333" s="16" t="n"/>
      <c r="AA333" s="16" t="n"/>
    </row>
    <row r="334">
      <c r="A334" s="16" t="n"/>
      <c r="B334" s="16" t="n"/>
      <c r="C334" s="16" t="n"/>
      <c r="D334" s="16" t="n"/>
      <c r="E334" s="16" t="n"/>
      <c r="F334" s="16" t="n"/>
      <c r="G334" s="16" t="n"/>
      <c r="H334" s="16" t="n"/>
      <c r="I334" s="16" t="n"/>
      <c r="J334" s="16" t="n"/>
      <c r="K334" s="16" t="n"/>
      <c r="L334" s="16" t="n"/>
      <c r="M334" s="16" t="n"/>
      <c r="N334" s="16" t="n"/>
      <c r="O334" s="16" t="n"/>
      <c r="P334" s="16" t="n"/>
      <c r="Q334" s="16" t="n"/>
      <c r="R334" s="16" t="n"/>
      <c r="S334" s="16" t="n"/>
      <c r="T334" s="16" t="n"/>
      <c r="U334" s="16" t="n"/>
      <c r="V334" s="16" t="n"/>
      <c r="W334" s="16" t="n"/>
      <c r="X334" s="16" t="n"/>
      <c r="Y334" s="16" t="n"/>
      <c r="Z334" s="16" t="n"/>
      <c r="AA334" s="16" t="n"/>
    </row>
    <row r="335">
      <c r="A335" s="16" t="n"/>
      <c r="B335" s="16" t="n"/>
      <c r="C335" s="16" t="n"/>
      <c r="D335" s="16" t="n"/>
      <c r="E335" s="16" t="n"/>
      <c r="F335" s="16" t="n"/>
      <c r="G335" s="16" t="n"/>
      <c r="H335" s="16" t="n"/>
      <c r="I335" s="16" t="n"/>
      <c r="J335" s="16" t="n"/>
      <c r="K335" s="16" t="n"/>
      <c r="L335" s="16" t="n"/>
      <c r="M335" s="16" t="n"/>
      <c r="N335" s="16" t="n"/>
      <c r="O335" s="16" t="n"/>
      <c r="P335" s="16" t="n"/>
      <c r="Q335" s="16" t="n"/>
      <c r="R335" s="16" t="n"/>
      <c r="S335" s="16" t="n"/>
      <c r="T335" s="16" t="n"/>
      <c r="U335" s="16" t="n"/>
      <c r="V335" s="16" t="n"/>
      <c r="W335" s="16" t="n"/>
      <c r="X335" s="16" t="n"/>
      <c r="Y335" s="16" t="n"/>
      <c r="Z335" s="16" t="n"/>
      <c r="AA335" s="16" t="n"/>
    </row>
    <row r="336">
      <c r="A336" s="16" t="n"/>
      <c r="B336" s="16" t="n"/>
      <c r="C336" s="16" t="n"/>
      <c r="D336" s="16" t="n"/>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c r="AA336" s="16" t="n"/>
    </row>
    <row r="337">
      <c r="A337" s="16" t="n"/>
      <c r="B337" s="16" t="n"/>
      <c r="C337" s="16" t="n"/>
      <c r="D337" s="16" t="n"/>
      <c r="E337" s="16" t="n"/>
      <c r="F337" s="16" t="n"/>
      <c r="G337" s="16" t="n"/>
      <c r="H337" s="16" t="n"/>
      <c r="I337" s="16" t="n"/>
      <c r="J337" s="16" t="n"/>
      <c r="K337" s="16" t="n"/>
      <c r="L337" s="16" t="n"/>
      <c r="M337" s="16" t="n"/>
      <c r="N337" s="16" t="n"/>
      <c r="O337" s="16" t="n"/>
      <c r="P337" s="16" t="n"/>
      <c r="Q337" s="16" t="n"/>
      <c r="R337" s="16" t="n"/>
      <c r="S337" s="16" t="n"/>
      <c r="T337" s="16" t="n"/>
      <c r="U337" s="16" t="n"/>
      <c r="V337" s="16" t="n"/>
      <c r="W337" s="16" t="n"/>
      <c r="X337" s="16" t="n"/>
      <c r="Y337" s="16" t="n"/>
      <c r="Z337" s="16" t="n"/>
      <c r="AA337" s="16" t="n"/>
    </row>
    <row r="338">
      <c r="A338" s="16" t="n"/>
      <c r="B338" s="16" t="n"/>
      <c r="C338" s="16" t="n"/>
      <c r="D338" s="16" t="n"/>
      <c r="E338" s="16" t="n"/>
      <c r="F338" s="16" t="n"/>
      <c r="G338" s="16" t="n"/>
      <c r="H338" s="16" t="n"/>
      <c r="I338" s="16" t="n"/>
      <c r="J338" s="16" t="n"/>
      <c r="K338" s="16" t="n"/>
      <c r="L338" s="16" t="n"/>
      <c r="M338" s="16" t="n"/>
      <c r="N338" s="16" t="n"/>
      <c r="O338" s="16" t="n"/>
      <c r="P338" s="16" t="n"/>
      <c r="Q338" s="16" t="n"/>
      <c r="R338" s="16" t="n"/>
      <c r="S338" s="16" t="n"/>
      <c r="T338" s="16" t="n"/>
      <c r="U338" s="16" t="n"/>
      <c r="V338" s="16" t="n"/>
      <c r="W338" s="16" t="n"/>
      <c r="X338" s="16" t="n"/>
      <c r="Y338" s="16" t="n"/>
      <c r="Z338" s="16" t="n"/>
      <c r="AA338" s="16" t="n"/>
    </row>
    <row r="339">
      <c r="A339" s="16" t="n"/>
      <c r="B339" s="16" t="n"/>
      <c r="C339" s="16" t="n"/>
      <c r="D339" s="16" t="n"/>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c r="AA339" s="16" t="n"/>
    </row>
    <row r="340">
      <c r="A340" s="16" t="n"/>
      <c r="B340" s="16" t="n"/>
      <c r="C340" s="16" t="n"/>
      <c r="D340" s="16" t="n"/>
      <c r="E340" s="16" t="n"/>
      <c r="F340" s="16" t="n"/>
      <c r="G340" s="16" t="n"/>
      <c r="H340" s="16" t="n"/>
      <c r="I340" s="16" t="n"/>
      <c r="J340" s="16" t="n"/>
      <c r="K340" s="16" t="n"/>
      <c r="L340" s="16" t="n"/>
      <c r="M340" s="16" t="n"/>
      <c r="N340" s="16" t="n"/>
      <c r="O340" s="16" t="n"/>
      <c r="P340" s="16" t="n"/>
      <c r="Q340" s="16" t="n"/>
      <c r="R340" s="16" t="n"/>
      <c r="S340" s="16" t="n"/>
      <c r="T340" s="16" t="n"/>
      <c r="U340" s="16" t="n"/>
      <c r="V340" s="16" t="n"/>
      <c r="W340" s="16" t="n"/>
      <c r="X340" s="16" t="n"/>
      <c r="Y340" s="16" t="n"/>
      <c r="Z340" s="16" t="n"/>
      <c r="AA340" s="16" t="n"/>
    </row>
    <row r="341">
      <c r="A341" s="16" t="n"/>
      <c r="B341" s="16" t="n"/>
      <c r="C341" s="16" t="n"/>
      <c r="D341" s="16" t="n"/>
      <c r="E341" s="16" t="n"/>
      <c r="F341" s="16" t="n"/>
      <c r="G341" s="16" t="n"/>
      <c r="H341" s="16" t="n"/>
      <c r="I341" s="16" t="n"/>
      <c r="J341" s="16" t="n"/>
      <c r="K341" s="16" t="n"/>
      <c r="L341" s="16" t="n"/>
      <c r="M341" s="16" t="n"/>
      <c r="N341" s="16" t="n"/>
      <c r="O341" s="16" t="n"/>
      <c r="P341" s="16" t="n"/>
      <c r="Q341" s="16" t="n"/>
      <c r="R341" s="16" t="n"/>
      <c r="S341" s="16" t="n"/>
      <c r="T341" s="16" t="n"/>
      <c r="U341" s="16" t="n"/>
      <c r="V341" s="16" t="n"/>
      <c r="W341" s="16" t="n"/>
      <c r="X341" s="16" t="n"/>
      <c r="Y341" s="16" t="n"/>
      <c r="Z341" s="16" t="n"/>
      <c r="AA341" s="16" t="n"/>
    </row>
    <row r="342">
      <c r="A342" s="16" t="n"/>
      <c r="B342" s="16" t="n"/>
      <c r="C342" s="16" t="n"/>
      <c r="D342" s="16" t="n"/>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c r="AA342" s="16" t="n"/>
    </row>
    <row r="343">
      <c r="A343" s="16" t="n"/>
      <c r="B343" s="16" t="n"/>
      <c r="C343" s="16" t="n"/>
      <c r="D343" s="16" t="n"/>
      <c r="E343" s="16" t="n"/>
      <c r="F343" s="16" t="n"/>
      <c r="G343" s="16" t="n"/>
      <c r="H343" s="16" t="n"/>
      <c r="I343" s="16" t="n"/>
      <c r="J343" s="16" t="n"/>
      <c r="K343" s="16" t="n"/>
      <c r="L343" s="16" t="n"/>
      <c r="M343" s="16" t="n"/>
      <c r="N343" s="16" t="n"/>
      <c r="O343" s="16" t="n"/>
      <c r="P343" s="16" t="n"/>
      <c r="Q343" s="16" t="n"/>
      <c r="R343" s="16" t="n"/>
      <c r="S343" s="16" t="n"/>
      <c r="T343" s="16" t="n"/>
      <c r="U343" s="16" t="n"/>
      <c r="V343" s="16" t="n"/>
      <c r="W343" s="16" t="n"/>
      <c r="X343" s="16" t="n"/>
      <c r="Y343" s="16" t="n"/>
      <c r="Z343" s="16" t="n"/>
      <c r="AA343" s="16" t="n"/>
    </row>
    <row r="344">
      <c r="A344" s="16" t="n"/>
      <c r="B344" s="16" t="n"/>
      <c r="C344" s="16" t="n"/>
      <c r="D344" s="16" t="n"/>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row>
    <row r="345">
      <c r="A345" s="16" t="n"/>
      <c r="B345" s="16" t="n"/>
      <c r="C345" s="16" t="n"/>
      <c r="D345" s="16" t="n"/>
      <c r="E345" s="16" t="n"/>
      <c r="F345" s="16" t="n"/>
      <c r="G345" s="16" t="n"/>
      <c r="H345" s="16" t="n"/>
      <c r="I345" s="16" t="n"/>
      <c r="J345" s="16" t="n"/>
      <c r="K345" s="16" t="n"/>
      <c r="L345" s="16" t="n"/>
      <c r="M345" s="16" t="n"/>
      <c r="N345" s="16" t="n"/>
      <c r="O345" s="16" t="n"/>
      <c r="P345" s="16" t="n"/>
      <c r="Q345" s="16" t="n"/>
      <c r="R345" s="16" t="n"/>
      <c r="S345" s="16" t="n"/>
      <c r="T345" s="16" t="n"/>
      <c r="U345" s="16" t="n"/>
      <c r="V345" s="16" t="n"/>
      <c r="W345" s="16" t="n"/>
      <c r="X345" s="16" t="n"/>
      <c r="Y345" s="16" t="n"/>
      <c r="Z345" s="16" t="n"/>
      <c r="AA345" s="16" t="n"/>
    </row>
    <row r="346">
      <c r="A346" s="16" t="n"/>
      <c r="B346" s="16" t="n"/>
      <c r="C346" s="16" t="n"/>
      <c r="D346" s="16" t="n"/>
      <c r="E346" s="16" t="n"/>
      <c r="F346" s="16" t="n"/>
      <c r="G346" s="16" t="n"/>
      <c r="H346" s="16" t="n"/>
      <c r="I346" s="16" t="n"/>
      <c r="J346" s="16" t="n"/>
      <c r="K346" s="16" t="n"/>
      <c r="L346" s="16" t="n"/>
      <c r="M346" s="16" t="n"/>
      <c r="N346" s="16" t="n"/>
      <c r="O346" s="16" t="n"/>
      <c r="P346" s="16" t="n"/>
      <c r="Q346" s="16" t="n"/>
      <c r="R346" s="16" t="n"/>
      <c r="S346" s="16" t="n"/>
      <c r="T346" s="16" t="n"/>
      <c r="U346" s="16" t="n"/>
      <c r="V346" s="16" t="n"/>
      <c r="W346" s="16" t="n"/>
      <c r="X346" s="16" t="n"/>
      <c r="Y346" s="16" t="n"/>
      <c r="Z346" s="16" t="n"/>
      <c r="AA346" s="16" t="n"/>
    </row>
    <row r="347">
      <c r="A347" s="16" t="n"/>
      <c r="B347" s="16" t="n"/>
      <c r="C347" s="16" t="n"/>
      <c r="D347" s="16" t="n"/>
      <c r="E347" s="16" t="n"/>
      <c r="F347" s="16" t="n"/>
      <c r="G347" s="16" t="n"/>
      <c r="H347" s="16" t="n"/>
      <c r="I347" s="16" t="n"/>
      <c r="J347" s="16" t="n"/>
      <c r="K347" s="16" t="n"/>
      <c r="L347" s="16" t="n"/>
      <c r="M347" s="16" t="n"/>
      <c r="N347" s="16" t="n"/>
      <c r="O347" s="16" t="n"/>
      <c r="P347" s="16" t="n"/>
      <c r="Q347" s="16" t="n"/>
      <c r="R347" s="16" t="n"/>
      <c r="S347" s="16" t="n"/>
      <c r="T347" s="16" t="n"/>
      <c r="U347" s="16" t="n"/>
      <c r="V347" s="16" t="n"/>
      <c r="W347" s="16" t="n"/>
      <c r="X347" s="16" t="n"/>
      <c r="Y347" s="16" t="n"/>
      <c r="Z347" s="16" t="n"/>
      <c r="AA347" s="16" t="n"/>
    </row>
    <row r="348">
      <c r="A348" s="16" t="n"/>
      <c r="B348" s="16" t="n"/>
      <c r="C348" s="16" t="n"/>
      <c r="D348" s="16" t="n"/>
      <c r="E348" s="16" t="n"/>
      <c r="F348" s="16" t="n"/>
      <c r="G348" s="16" t="n"/>
      <c r="H348" s="16" t="n"/>
      <c r="I348" s="16" t="n"/>
      <c r="J348" s="16" t="n"/>
      <c r="K348" s="16" t="n"/>
      <c r="L348" s="16" t="n"/>
      <c r="M348" s="16" t="n"/>
      <c r="N348" s="16" t="n"/>
      <c r="O348" s="16" t="n"/>
      <c r="P348" s="16" t="n"/>
      <c r="Q348" s="16" t="n"/>
      <c r="R348" s="16" t="n"/>
      <c r="S348" s="16" t="n"/>
      <c r="T348" s="16" t="n"/>
      <c r="U348" s="16" t="n"/>
      <c r="V348" s="16" t="n"/>
      <c r="W348" s="16" t="n"/>
      <c r="X348" s="16" t="n"/>
      <c r="Y348" s="16" t="n"/>
      <c r="Z348" s="16" t="n"/>
      <c r="AA348" s="16" t="n"/>
    </row>
    <row r="349">
      <c r="A349" s="16" t="n"/>
      <c r="B349" s="16" t="n"/>
      <c r="C349" s="16" t="n"/>
      <c r="D349" s="16" t="n"/>
      <c r="E349" s="16" t="n"/>
      <c r="F349" s="16" t="n"/>
      <c r="G349" s="16" t="n"/>
      <c r="H349" s="16" t="n"/>
      <c r="I349" s="16" t="n"/>
      <c r="J349" s="16" t="n"/>
      <c r="K349" s="16" t="n"/>
      <c r="L349" s="16" t="n"/>
      <c r="M349" s="16" t="n"/>
      <c r="N349" s="16" t="n"/>
      <c r="O349" s="16" t="n"/>
      <c r="P349" s="16" t="n"/>
      <c r="Q349" s="16" t="n"/>
      <c r="R349" s="16" t="n"/>
      <c r="S349" s="16" t="n"/>
      <c r="T349" s="16" t="n"/>
      <c r="U349" s="16" t="n"/>
      <c r="V349" s="16" t="n"/>
      <c r="W349" s="16" t="n"/>
      <c r="X349" s="16" t="n"/>
      <c r="Y349" s="16" t="n"/>
      <c r="Z349" s="16" t="n"/>
      <c r="AA349" s="16" t="n"/>
    </row>
    <row r="350">
      <c r="A350" s="16" t="n"/>
      <c r="B350" s="16" t="n"/>
      <c r="C350" s="16" t="n"/>
      <c r="D350" s="16" t="n"/>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c r="AA350" s="16" t="n"/>
    </row>
    <row r="351">
      <c r="A351" s="16" t="n"/>
      <c r="B351" s="16" t="n"/>
      <c r="C351" s="16" t="n"/>
      <c r="D351" s="16" t="n"/>
      <c r="E351" s="16" t="n"/>
      <c r="F351" s="16" t="n"/>
      <c r="G351" s="16" t="n"/>
      <c r="H351" s="16" t="n"/>
      <c r="I351" s="16" t="n"/>
      <c r="J351" s="16" t="n"/>
      <c r="K351" s="16" t="n"/>
      <c r="L351" s="16" t="n"/>
      <c r="M351" s="16" t="n"/>
      <c r="N351" s="16" t="n"/>
      <c r="O351" s="16" t="n"/>
      <c r="P351" s="16" t="n"/>
      <c r="Q351" s="16" t="n"/>
      <c r="R351" s="16" t="n"/>
      <c r="S351" s="16" t="n"/>
      <c r="T351" s="16" t="n"/>
      <c r="U351" s="16" t="n"/>
      <c r="V351" s="16" t="n"/>
      <c r="W351" s="16" t="n"/>
      <c r="X351" s="16" t="n"/>
      <c r="Y351" s="16" t="n"/>
      <c r="Z351" s="16" t="n"/>
      <c r="AA351" s="16" t="n"/>
    </row>
    <row r="352">
      <c r="A352" s="16" t="n"/>
      <c r="B352" s="16" t="n"/>
      <c r="C352" s="16" t="n"/>
      <c r="D352" s="16" t="n"/>
      <c r="E352" s="16" t="n"/>
      <c r="F352" s="16" t="n"/>
      <c r="G352" s="16" t="n"/>
      <c r="H352" s="16" t="n"/>
      <c r="I352" s="16" t="n"/>
      <c r="J352" s="16" t="n"/>
      <c r="K352" s="16" t="n"/>
      <c r="L352" s="16" t="n"/>
      <c r="M352" s="16" t="n"/>
      <c r="N352" s="16" t="n"/>
      <c r="O352" s="16" t="n"/>
      <c r="P352" s="16" t="n"/>
      <c r="Q352" s="16" t="n"/>
      <c r="R352" s="16" t="n"/>
      <c r="S352" s="16" t="n"/>
      <c r="T352" s="16" t="n"/>
      <c r="U352" s="16" t="n"/>
      <c r="V352" s="16" t="n"/>
      <c r="W352" s="16" t="n"/>
      <c r="X352" s="16" t="n"/>
      <c r="Y352" s="16" t="n"/>
      <c r="Z352" s="16" t="n"/>
      <c r="AA352" s="16" t="n"/>
    </row>
    <row r="353">
      <c r="A353" s="16" t="n"/>
      <c r="B353" s="16" t="n"/>
      <c r="C353" s="16" t="n"/>
      <c r="D353" s="16" t="n"/>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c r="AA353" s="16" t="n"/>
    </row>
    <row r="354">
      <c r="A354" s="16" t="n"/>
      <c r="B354" s="16" t="n"/>
      <c r="C354" s="16" t="n"/>
      <c r="D354" s="16" t="n"/>
      <c r="E354" s="16" t="n"/>
      <c r="F354" s="16" t="n"/>
      <c r="G354" s="16" t="n"/>
      <c r="H354" s="16" t="n"/>
      <c r="I354" s="16" t="n"/>
      <c r="J354" s="16" t="n"/>
      <c r="K354" s="16" t="n"/>
      <c r="L354" s="16" t="n"/>
      <c r="M354" s="16" t="n"/>
      <c r="N354" s="16" t="n"/>
      <c r="O354" s="16" t="n"/>
      <c r="P354" s="16" t="n"/>
      <c r="Q354" s="16" t="n"/>
      <c r="R354" s="16" t="n"/>
      <c r="S354" s="16" t="n"/>
      <c r="T354" s="16" t="n"/>
      <c r="U354" s="16" t="n"/>
      <c r="V354" s="16" t="n"/>
      <c r="W354" s="16" t="n"/>
      <c r="X354" s="16" t="n"/>
      <c r="Y354" s="16" t="n"/>
      <c r="Z354" s="16" t="n"/>
      <c r="AA354" s="16" t="n"/>
    </row>
    <row r="355">
      <c r="A355" s="16" t="n"/>
      <c r="B355" s="16" t="n"/>
      <c r="C355" s="16" t="n"/>
      <c r="D355" s="16" t="n"/>
      <c r="E355" s="16" t="n"/>
      <c r="F355" s="16" t="n"/>
      <c r="G355" s="16" t="n"/>
      <c r="H355" s="16" t="n"/>
      <c r="I355" s="16" t="n"/>
      <c r="J355" s="16" t="n"/>
      <c r="K355" s="16" t="n"/>
      <c r="L355" s="16" t="n"/>
      <c r="M355" s="16" t="n"/>
      <c r="N355" s="16" t="n"/>
      <c r="O355" s="16" t="n"/>
      <c r="P355" s="16" t="n"/>
      <c r="Q355" s="16" t="n"/>
      <c r="R355" s="16" t="n"/>
      <c r="S355" s="16" t="n"/>
      <c r="T355" s="16" t="n"/>
      <c r="U355" s="16" t="n"/>
      <c r="V355" s="16" t="n"/>
      <c r="W355" s="16" t="n"/>
      <c r="X355" s="16" t="n"/>
      <c r="Y355" s="16" t="n"/>
      <c r="Z355" s="16" t="n"/>
      <c r="AA355" s="16" t="n"/>
    </row>
    <row r="356">
      <c r="A356" s="16" t="n"/>
      <c r="B356" s="16" t="n"/>
      <c r="C356" s="16" t="n"/>
      <c r="D356" s="16" t="n"/>
      <c r="E356" s="16" t="n"/>
      <c r="F356" s="16" t="n"/>
      <c r="G356" s="16" t="n"/>
      <c r="H356" s="16" t="n"/>
      <c r="I356" s="16" t="n"/>
      <c r="J356" s="16" t="n"/>
      <c r="K356" s="16" t="n"/>
      <c r="L356" s="16" t="n"/>
      <c r="M356" s="16" t="n"/>
      <c r="N356" s="16" t="n"/>
      <c r="O356" s="16" t="n"/>
      <c r="P356" s="16" t="n"/>
      <c r="Q356" s="16" t="n"/>
      <c r="R356" s="16" t="n"/>
      <c r="S356" s="16" t="n"/>
      <c r="T356" s="16" t="n"/>
      <c r="U356" s="16" t="n"/>
      <c r="V356" s="16" t="n"/>
      <c r="W356" s="16" t="n"/>
      <c r="X356" s="16" t="n"/>
      <c r="Y356" s="16" t="n"/>
      <c r="Z356" s="16" t="n"/>
      <c r="AA356" s="16" t="n"/>
    </row>
    <row r="357">
      <c r="A357" s="16" t="n"/>
      <c r="B357" s="16" t="n"/>
      <c r="C357" s="16" t="n"/>
      <c r="D357" s="16" t="n"/>
      <c r="E357" s="16" t="n"/>
      <c r="F357" s="16" t="n"/>
      <c r="G357" s="16" t="n"/>
      <c r="H357" s="16" t="n"/>
      <c r="I357" s="16" t="n"/>
      <c r="J357" s="16" t="n"/>
      <c r="K357" s="16" t="n"/>
      <c r="L357" s="16" t="n"/>
      <c r="M357" s="16" t="n"/>
      <c r="N357" s="16" t="n"/>
      <c r="O357" s="16" t="n"/>
      <c r="P357" s="16" t="n"/>
      <c r="Q357" s="16" t="n"/>
      <c r="R357" s="16" t="n"/>
      <c r="S357" s="16" t="n"/>
      <c r="T357" s="16" t="n"/>
      <c r="U357" s="16" t="n"/>
      <c r="V357" s="16" t="n"/>
      <c r="W357" s="16" t="n"/>
      <c r="X357" s="16" t="n"/>
      <c r="Y357" s="16" t="n"/>
      <c r="Z357" s="16" t="n"/>
      <c r="AA357" s="16" t="n"/>
    </row>
    <row r="358">
      <c r="A358" s="16" t="n"/>
      <c r="B358" s="16" t="n"/>
      <c r="C358" s="16" t="n"/>
      <c r="D358" s="16" t="n"/>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row>
    <row r="359">
      <c r="A359" s="16" t="n"/>
      <c r="B359" s="16" t="n"/>
      <c r="C359" s="16" t="n"/>
      <c r="D359" s="16" t="n"/>
      <c r="E359" s="16" t="n"/>
      <c r="F359" s="16" t="n"/>
      <c r="G359" s="16" t="n"/>
      <c r="H359" s="16" t="n"/>
      <c r="I359" s="16" t="n"/>
      <c r="J359" s="16" t="n"/>
      <c r="K359" s="16" t="n"/>
      <c r="L359" s="16" t="n"/>
      <c r="M359" s="16" t="n"/>
      <c r="N359" s="16" t="n"/>
      <c r="O359" s="16" t="n"/>
      <c r="P359" s="16" t="n"/>
      <c r="Q359" s="16" t="n"/>
      <c r="R359" s="16" t="n"/>
      <c r="S359" s="16" t="n"/>
      <c r="T359" s="16" t="n"/>
      <c r="U359" s="16" t="n"/>
      <c r="V359" s="16" t="n"/>
      <c r="W359" s="16" t="n"/>
      <c r="X359" s="16" t="n"/>
      <c r="Y359" s="16" t="n"/>
      <c r="Z359" s="16" t="n"/>
      <c r="AA359" s="16" t="n"/>
    </row>
    <row r="360">
      <c r="A360" s="16" t="n"/>
      <c r="B360" s="16" t="n"/>
      <c r="C360" s="16" t="n"/>
      <c r="D360" s="16" t="n"/>
      <c r="E360" s="16" t="n"/>
      <c r="F360" s="16" t="n"/>
      <c r="G360" s="16" t="n"/>
      <c r="H360" s="16" t="n"/>
      <c r="I360" s="16" t="n"/>
      <c r="J360" s="16" t="n"/>
      <c r="K360" s="16" t="n"/>
      <c r="L360" s="16" t="n"/>
      <c r="M360" s="16" t="n"/>
      <c r="N360" s="16" t="n"/>
      <c r="O360" s="16" t="n"/>
      <c r="P360" s="16" t="n"/>
      <c r="Q360" s="16" t="n"/>
      <c r="R360" s="16" t="n"/>
      <c r="S360" s="16" t="n"/>
      <c r="T360" s="16" t="n"/>
      <c r="U360" s="16" t="n"/>
      <c r="V360" s="16" t="n"/>
      <c r="W360" s="16" t="n"/>
      <c r="X360" s="16" t="n"/>
      <c r="Y360" s="16" t="n"/>
      <c r="Z360" s="16" t="n"/>
      <c r="AA360" s="16" t="n"/>
    </row>
    <row r="361">
      <c r="A361" s="16" t="n"/>
      <c r="B361" s="16" t="n"/>
      <c r="C361" s="16" t="n"/>
      <c r="D361" s="16" t="n"/>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c r="AA361" s="16" t="n"/>
    </row>
    <row r="362">
      <c r="A362" s="16" t="n"/>
      <c r="B362" s="16" t="n"/>
      <c r="C362" s="16" t="n"/>
      <c r="D362" s="16" t="n"/>
      <c r="E362" s="16" t="n"/>
      <c r="F362" s="16" t="n"/>
      <c r="G362" s="16" t="n"/>
      <c r="H362" s="16" t="n"/>
      <c r="I362" s="16" t="n"/>
      <c r="J362" s="16" t="n"/>
      <c r="K362" s="16" t="n"/>
      <c r="L362" s="16" t="n"/>
      <c r="M362" s="16" t="n"/>
      <c r="N362" s="16" t="n"/>
      <c r="O362" s="16" t="n"/>
      <c r="P362" s="16" t="n"/>
      <c r="Q362" s="16" t="n"/>
      <c r="R362" s="16" t="n"/>
      <c r="S362" s="16" t="n"/>
      <c r="T362" s="16" t="n"/>
      <c r="U362" s="16" t="n"/>
      <c r="V362" s="16" t="n"/>
      <c r="W362" s="16" t="n"/>
      <c r="X362" s="16" t="n"/>
      <c r="Y362" s="16" t="n"/>
      <c r="Z362" s="16" t="n"/>
      <c r="AA362" s="16" t="n"/>
    </row>
    <row r="363">
      <c r="A363" s="16" t="n"/>
      <c r="B363" s="16" t="n"/>
      <c r="C363" s="16" t="n"/>
      <c r="D363" s="16" t="n"/>
      <c r="E363" s="16" t="n"/>
      <c r="F363" s="16" t="n"/>
      <c r="G363" s="16" t="n"/>
      <c r="H363" s="16" t="n"/>
      <c r="I363" s="16" t="n"/>
      <c r="J363" s="16" t="n"/>
      <c r="K363" s="16" t="n"/>
      <c r="L363" s="16" t="n"/>
      <c r="M363" s="16" t="n"/>
      <c r="N363" s="16" t="n"/>
      <c r="O363" s="16" t="n"/>
      <c r="P363" s="16" t="n"/>
      <c r="Q363" s="16" t="n"/>
      <c r="R363" s="16" t="n"/>
      <c r="S363" s="16" t="n"/>
      <c r="T363" s="16" t="n"/>
      <c r="U363" s="16" t="n"/>
      <c r="V363" s="16" t="n"/>
      <c r="W363" s="16" t="n"/>
      <c r="X363" s="16" t="n"/>
      <c r="Y363" s="16" t="n"/>
      <c r="Z363" s="16" t="n"/>
      <c r="AA363" s="16" t="n"/>
    </row>
    <row r="364">
      <c r="A364" s="16" t="n"/>
      <c r="B364" s="16" t="n"/>
      <c r="C364" s="16" t="n"/>
      <c r="D364" s="16" t="n"/>
      <c r="E364" s="16" t="n"/>
      <c r="F364" s="16" t="n"/>
      <c r="G364" s="16" t="n"/>
      <c r="H364" s="16" t="n"/>
      <c r="I364" s="16" t="n"/>
      <c r="J364" s="16" t="n"/>
      <c r="K364" s="16" t="n"/>
      <c r="L364" s="16" t="n"/>
      <c r="M364" s="16" t="n"/>
      <c r="N364" s="16" t="n"/>
      <c r="O364" s="16" t="n"/>
      <c r="P364" s="16" t="n"/>
      <c r="Q364" s="16" t="n"/>
      <c r="R364" s="16" t="n"/>
      <c r="S364" s="16" t="n"/>
      <c r="T364" s="16" t="n"/>
      <c r="U364" s="16" t="n"/>
      <c r="V364" s="16" t="n"/>
      <c r="W364" s="16" t="n"/>
      <c r="X364" s="16" t="n"/>
      <c r="Y364" s="16" t="n"/>
      <c r="Z364" s="16" t="n"/>
      <c r="AA364" s="16" t="n"/>
    </row>
    <row r="365">
      <c r="A365" s="16" t="n"/>
      <c r="B365" s="16" t="n"/>
      <c r="C365" s="16" t="n"/>
      <c r="D365" s="16" t="n"/>
      <c r="E365" s="16" t="n"/>
      <c r="F365" s="16" t="n"/>
      <c r="G365" s="16" t="n"/>
      <c r="H365" s="16" t="n"/>
      <c r="I365" s="16" t="n"/>
      <c r="J365" s="16" t="n"/>
      <c r="K365" s="16" t="n"/>
      <c r="L365" s="16" t="n"/>
      <c r="M365" s="16" t="n"/>
      <c r="N365" s="16" t="n"/>
      <c r="O365" s="16" t="n"/>
      <c r="P365" s="16" t="n"/>
      <c r="Q365" s="16" t="n"/>
      <c r="R365" s="16" t="n"/>
      <c r="S365" s="16" t="n"/>
      <c r="T365" s="16" t="n"/>
      <c r="U365" s="16" t="n"/>
      <c r="V365" s="16" t="n"/>
      <c r="W365" s="16" t="n"/>
      <c r="X365" s="16" t="n"/>
      <c r="Y365" s="16" t="n"/>
      <c r="Z365" s="16" t="n"/>
      <c r="AA365" s="16" t="n"/>
    </row>
    <row r="366">
      <c r="A366" s="16" t="n"/>
      <c r="B366" s="16" t="n"/>
      <c r="C366" s="16" t="n"/>
      <c r="D366" s="16" t="n"/>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row>
    <row r="367">
      <c r="A367" s="16" t="n"/>
      <c r="B367" s="16" t="n"/>
      <c r="C367" s="16" t="n"/>
      <c r="D367" s="16" t="n"/>
      <c r="E367" s="16" t="n"/>
      <c r="F367" s="16" t="n"/>
      <c r="G367" s="16" t="n"/>
      <c r="H367" s="16" t="n"/>
      <c r="I367" s="16" t="n"/>
      <c r="J367" s="16" t="n"/>
      <c r="K367" s="16" t="n"/>
      <c r="L367" s="16" t="n"/>
      <c r="M367" s="16" t="n"/>
      <c r="N367" s="16" t="n"/>
      <c r="O367" s="16" t="n"/>
      <c r="P367" s="16" t="n"/>
      <c r="Q367" s="16" t="n"/>
      <c r="R367" s="16" t="n"/>
      <c r="S367" s="16" t="n"/>
      <c r="T367" s="16" t="n"/>
      <c r="U367" s="16" t="n"/>
      <c r="V367" s="16" t="n"/>
      <c r="W367" s="16" t="n"/>
      <c r="X367" s="16" t="n"/>
      <c r="Y367" s="16" t="n"/>
      <c r="Z367" s="16" t="n"/>
      <c r="AA367" s="16" t="n"/>
    </row>
    <row r="368">
      <c r="A368" s="16" t="n"/>
      <c r="B368" s="16" t="n"/>
      <c r="C368" s="16" t="n"/>
      <c r="D368" s="16" t="n"/>
      <c r="E368" s="16" t="n"/>
      <c r="F368" s="16" t="n"/>
      <c r="G368" s="16" t="n"/>
      <c r="H368" s="16" t="n"/>
      <c r="I368" s="16" t="n"/>
      <c r="J368" s="16" t="n"/>
      <c r="K368" s="16" t="n"/>
      <c r="L368" s="16" t="n"/>
      <c r="M368" s="16" t="n"/>
      <c r="N368" s="16" t="n"/>
      <c r="O368" s="16" t="n"/>
      <c r="P368" s="16" t="n"/>
      <c r="Q368" s="16" t="n"/>
      <c r="R368" s="16" t="n"/>
      <c r="S368" s="16" t="n"/>
      <c r="T368" s="16" t="n"/>
      <c r="U368" s="16" t="n"/>
      <c r="V368" s="16" t="n"/>
      <c r="W368" s="16" t="n"/>
      <c r="X368" s="16" t="n"/>
      <c r="Y368" s="16" t="n"/>
      <c r="Z368" s="16" t="n"/>
      <c r="AA368" s="16" t="n"/>
    </row>
    <row r="369">
      <c r="A369" s="16" t="n"/>
      <c r="B369" s="16" t="n"/>
      <c r="C369" s="16" t="n"/>
      <c r="D369" s="16" t="n"/>
      <c r="E369" s="16" t="n"/>
      <c r="F369" s="16" t="n"/>
      <c r="G369" s="16" t="n"/>
      <c r="H369" s="16" t="n"/>
      <c r="I369" s="16" t="n"/>
      <c r="J369" s="16" t="n"/>
      <c r="K369" s="16" t="n"/>
      <c r="L369" s="16" t="n"/>
      <c r="M369" s="16" t="n"/>
      <c r="N369" s="16" t="n"/>
      <c r="O369" s="16" t="n"/>
      <c r="P369" s="16" t="n"/>
      <c r="Q369" s="16" t="n"/>
      <c r="R369" s="16" t="n"/>
      <c r="S369" s="16" t="n"/>
      <c r="T369" s="16" t="n"/>
      <c r="U369" s="16" t="n"/>
      <c r="V369" s="16" t="n"/>
      <c r="W369" s="16" t="n"/>
      <c r="X369" s="16" t="n"/>
      <c r="Y369" s="16" t="n"/>
      <c r="Z369" s="16" t="n"/>
      <c r="AA369" s="16" t="n"/>
    </row>
    <row r="370">
      <c r="A370" s="16" t="n"/>
      <c r="B370" s="16" t="n"/>
      <c r="C370" s="16" t="n"/>
      <c r="D370" s="16" t="n"/>
      <c r="E370" s="16" t="n"/>
      <c r="F370" s="16" t="n"/>
      <c r="G370" s="16" t="n"/>
      <c r="H370" s="16" t="n"/>
      <c r="I370" s="16" t="n"/>
      <c r="J370" s="16" t="n"/>
      <c r="K370" s="16" t="n"/>
      <c r="L370" s="16" t="n"/>
      <c r="M370" s="16" t="n"/>
      <c r="N370" s="16" t="n"/>
      <c r="O370" s="16" t="n"/>
      <c r="P370" s="16" t="n"/>
      <c r="Q370" s="16" t="n"/>
      <c r="R370" s="16" t="n"/>
      <c r="S370" s="16" t="n"/>
      <c r="T370" s="16" t="n"/>
      <c r="U370" s="16" t="n"/>
      <c r="V370" s="16" t="n"/>
      <c r="W370" s="16" t="n"/>
      <c r="X370" s="16" t="n"/>
      <c r="Y370" s="16" t="n"/>
      <c r="Z370" s="16" t="n"/>
      <c r="AA370" s="16" t="n"/>
    </row>
    <row r="371">
      <c r="A371" s="16" t="n"/>
      <c r="B371" s="16" t="n"/>
      <c r="C371" s="16" t="n"/>
      <c r="D371" s="16" t="n"/>
      <c r="E371" s="16" t="n"/>
      <c r="F371" s="16" t="n"/>
      <c r="G371" s="16" t="n"/>
      <c r="H371" s="16" t="n"/>
      <c r="I371" s="16" t="n"/>
      <c r="J371" s="16" t="n"/>
      <c r="K371" s="16" t="n"/>
      <c r="L371" s="16" t="n"/>
      <c r="M371" s="16" t="n"/>
      <c r="N371" s="16" t="n"/>
      <c r="O371" s="16" t="n"/>
      <c r="P371" s="16" t="n"/>
      <c r="Q371" s="16" t="n"/>
      <c r="R371" s="16" t="n"/>
      <c r="S371" s="16" t="n"/>
      <c r="T371" s="16" t="n"/>
      <c r="U371" s="16" t="n"/>
      <c r="V371" s="16" t="n"/>
      <c r="W371" s="16" t="n"/>
      <c r="X371" s="16" t="n"/>
      <c r="Y371" s="16" t="n"/>
      <c r="Z371" s="16" t="n"/>
      <c r="AA371" s="16" t="n"/>
    </row>
    <row r="372">
      <c r="A372" s="16" t="n"/>
      <c r="B372" s="16" t="n"/>
      <c r="C372" s="16" t="n"/>
      <c r="D372" s="16" t="n"/>
      <c r="E372" s="16" t="n"/>
      <c r="F372" s="16" t="n"/>
      <c r="G372" s="16" t="n"/>
      <c r="H372" s="16" t="n"/>
      <c r="I372" s="16" t="n"/>
      <c r="J372" s="16" t="n"/>
      <c r="K372" s="16" t="n"/>
      <c r="L372" s="16" t="n"/>
      <c r="M372" s="16" t="n"/>
      <c r="N372" s="16" t="n"/>
      <c r="O372" s="16" t="n"/>
      <c r="P372" s="16" t="n"/>
      <c r="Q372" s="16" t="n"/>
      <c r="R372" s="16" t="n"/>
      <c r="S372" s="16" t="n"/>
      <c r="T372" s="16" t="n"/>
      <c r="U372" s="16" t="n"/>
      <c r="V372" s="16" t="n"/>
      <c r="W372" s="16" t="n"/>
      <c r="X372" s="16" t="n"/>
      <c r="Y372" s="16" t="n"/>
      <c r="Z372" s="16" t="n"/>
      <c r="AA372" s="16" t="n"/>
    </row>
    <row r="373">
      <c r="A373" s="16" t="n"/>
      <c r="B373" s="16" t="n"/>
      <c r="C373" s="16" t="n"/>
      <c r="D373" s="16" t="n"/>
      <c r="E373" s="16" t="n"/>
      <c r="F373" s="16" t="n"/>
      <c r="G373" s="16" t="n"/>
      <c r="H373" s="16" t="n"/>
      <c r="I373" s="16" t="n"/>
      <c r="J373" s="16" t="n"/>
      <c r="K373" s="16" t="n"/>
      <c r="L373" s="16" t="n"/>
      <c r="M373" s="16" t="n"/>
      <c r="N373" s="16" t="n"/>
      <c r="O373" s="16" t="n"/>
      <c r="P373" s="16" t="n"/>
      <c r="Q373" s="16" t="n"/>
      <c r="R373" s="16" t="n"/>
      <c r="S373" s="16" t="n"/>
      <c r="T373" s="16" t="n"/>
      <c r="U373" s="16" t="n"/>
      <c r="V373" s="16" t="n"/>
      <c r="W373" s="16" t="n"/>
      <c r="X373" s="16" t="n"/>
      <c r="Y373" s="16" t="n"/>
      <c r="Z373" s="16" t="n"/>
      <c r="AA373" s="16" t="n"/>
    </row>
    <row r="374">
      <c r="A374" s="16" t="n"/>
      <c r="B374" s="16" t="n"/>
      <c r="C374" s="16" t="n"/>
      <c r="D374" s="16" t="n"/>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c r="AA374" s="16" t="n"/>
    </row>
    <row r="375">
      <c r="A375" s="16" t="n"/>
      <c r="B375" s="16" t="n"/>
      <c r="C375" s="16" t="n"/>
      <c r="D375" s="16" t="n"/>
      <c r="E375" s="16" t="n"/>
      <c r="F375" s="16" t="n"/>
      <c r="G375" s="16" t="n"/>
      <c r="H375" s="16" t="n"/>
      <c r="I375" s="16" t="n"/>
      <c r="J375" s="16" t="n"/>
      <c r="K375" s="16" t="n"/>
      <c r="L375" s="16" t="n"/>
      <c r="M375" s="16" t="n"/>
      <c r="N375" s="16" t="n"/>
      <c r="O375" s="16" t="n"/>
      <c r="P375" s="16" t="n"/>
      <c r="Q375" s="16" t="n"/>
      <c r="R375" s="16" t="n"/>
      <c r="S375" s="16" t="n"/>
      <c r="T375" s="16" t="n"/>
      <c r="U375" s="16" t="n"/>
      <c r="V375" s="16" t="n"/>
      <c r="W375" s="16" t="n"/>
      <c r="X375" s="16" t="n"/>
      <c r="Y375" s="16" t="n"/>
      <c r="Z375" s="16" t="n"/>
      <c r="AA375" s="16" t="n"/>
    </row>
    <row r="376">
      <c r="A376" s="16" t="n"/>
      <c r="B376" s="16" t="n"/>
      <c r="C376" s="16" t="n"/>
      <c r="D376" s="16" t="n"/>
      <c r="E376" s="16" t="n"/>
      <c r="F376" s="16" t="n"/>
      <c r="G376" s="16" t="n"/>
      <c r="H376" s="16" t="n"/>
      <c r="I376" s="16" t="n"/>
      <c r="J376" s="16" t="n"/>
      <c r="K376" s="16" t="n"/>
      <c r="L376" s="16" t="n"/>
      <c r="M376" s="16" t="n"/>
      <c r="N376" s="16" t="n"/>
      <c r="O376" s="16" t="n"/>
      <c r="P376" s="16" t="n"/>
      <c r="Q376" s="16" t="n"/>
      <c r="R376" s="16" t="n"/>
      <c r="S376" s="16" t="n"/>
      <c r="T376" s="16" t="n"/>
      <c r="U376" s="16" t="n"/>
      <c r="V376" s="16" t="n"/>
      <c r="W376" s="16" t="n"/>
      <c r="X376" s="16" t="n"/>
      <c r="Y376" s="16" t="n"/>
      <c r="Z376" s="16" t="n"/>
      <c r="AA376" s="16" t="n"/>
    </row>
    <row r="377">
      <c r="A377" s="16" t="n"/>
      <c r="B377" s="16" t="n"/>
      <c r="C377" s="16" t="n"/>
      <c r="D377" s="16" t="n"/>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c r="AA377" s="16" t="n"/>
    </row>
    <row r="378">
      <c r="A378" s="16" t="n"/>
      <c r="B378" s="16" t="n"/>
      <c r="C378" s="16" t="n"/>
      <c r="D378" s="16" t="n"/>
      <c r="E378" s="16" t="n"/>
      <c r="F378" s="16" t="n"/>
      <c r="G378" s="16" t="n"/>
      <c r="H378" s="16" t="n"/>
      <c r="I378" s="16" t="n"/>
      <c r="J378" s="16" t="n"/>
      <c r="K378" s="16" t="n"/>
      <c r="L378" s="16" t="n"/>
      <c r="M378" s="16" t="n"/>
      <c r="N378" s="16" t="n"/>
      <c r="O378" s="16" t="n"/>
      <c r="P378" s="16" t="n"/>
      <c r="Q378" s="16" t="n"/>
      <c r="R378" s="16" t="n"/>
      <c r="S378" s="16" t="n"/>
      <c r="T378" s="16" t="n"/>
      <c r="U378" s="16" t="n"/>
      <c r="V378" s="16" t="n"/>
      <c r="W378" s="16" t="n"/>
      <c r="X378" s="16" t="n"/>
      <c r="Y378" s="16" t="n"/>
      <c r="Z378" s="16" t="n"/>
      <c r="AA378" s="16" t="n"/>
    </row>
    <row r="379">
      <c r="A379" s="16" t="n"/>
      <c r="B379" s="16" t="n"/>
      <c r="C379" s="16" t="n"/>
      <c r="D379" s="16" t="n"/>
      <c r="E379" s="16" t="n"/>
      <c r="F379" s="16" t="n"/>
      <c r="G379" s="16" t="n"/>
      <c r="H379" s="16" t="n"/>
      <c r="I379" s="16" t="n"/>
      <c r="J379" s="16" t="n"/>
      <c r="K379" s="16" t="n"/>
      <c r="L379" s="16" t="n"/>
      <c r="M379" s="16" t="n"/>
      <c r="N379" s="16" t="n"/>
      <c r="O379" s="16" t="n"/>
      <c r="P379" s="16" t="n"/>
      <c r="Q379" s="16" t="n"/>
      <c r="R379" s="16" t="n"/>
      <c r="S379" s="16" t="n"/>
      <c r="T379" s="16" t="n"/>
      <c r="U379" s="16" t="n"/>
      <c r="V379" s="16" t="n"/>
      <c r="W379" s="16" t="n"/>
      <c r="X379" s="16" t="n"/>
      <c r="Y379" s="16" t="n"/>
      <c r="Z379" s="16" t="n"/>
      <c r="AA379" s="16" t="n"/>
    </row>
    <row r="380">
      <c r="A380" s="16" t="n"/>
      <c r="B380" s="16" t="n"/>
      <c r="C380" s="16" t="n"/>
      <c r="D380" s="16" t="n"/>
      <c r="E380" s="16" t="n"/>
      <c r="F380" s="16" t="n"/>
      <c r="G380" s="16" t="n"/>
      <c r="H380" s="16" t="n"/>
      <c r="I380" s="16" t="n"/>
      <c r="J380" s="16" t="n"/>
      <c r="K380" s="16" t="n"/>
      <c r="L380" s="16" t="n"/>
      <c r="M380" s="16" t="n"/>
      <c r="N380" s="16" t="n"/>
      <c r="O380" s="16" t="n"/>
      <c r="P380" s="16" t="n"/>
      <c r="Q380" s="16" t="n"/>
      <c r="R380" s="16" t="n"/>
      <c r="S380" s="16" t="n"/>
      <c r="T380" s="16" t="n"/>
      <c r="U380" s="16" t="n"/>
      <c r="V380" s="16" t="n"/>
      <c r="W380" s="16" t="n"/>
      <c r="X380" s="16" t="n"/>
      <c r="Y380" s="16" t="n"/>
      <c r="Z380" s="16" t="n"/>
      <c r="AA380" s="16" t="n"/>
    </row>
    <row r="381">
      <c r="A381" s="16" t="n"/>
      <c r="B381" s="16" t="n"/>
      <c r="C381" s="16" t="n"/>
      <c r="D381" s="16" t="n"/>
      <c r="E381" s="16" t="n"/>
      <c r="F381" s="16" t="n"/>
      <c r="G381" s="16" t="n"/>
      <c r="H381" s="16" t="n"/>
      <c r="I381" s="16" t="n"/>
      <c r="J381" s="16" t="n"/>
      <c r="K381" s="16" t="n"/>
      <c r="L381" s="16" t="n"/>
      <c r="M381" s="16" t="n"/>
      <c r="N381" s="16" t="n"/>
      <c r="O381" s="16" t="n"/>
      <c r="P381" s="16" t="n"/>
      <c r="Q381" s="16" t="n"/>
      <c r="R381" s="16" t="n"/>
      <c r="S381" s="16" t="n"/>
      <c r="T381" s="16" t="n"/>
      <c r="U381" s="16" t="n"/>
      <c r="V381" s="16" t="n"/>
      <c r="W381" s="16" t="n"/>
      <c r="X381" s="16" t="n"/>
      <c r="Y381" s="16" t="n"/>
      <c r="Z381" s="16" t="n"/>
      <c r="AA381" s="16" t="n"/>
    </row>
    <row r="382">
      <c r="A382" s="16" t="n"/>
      <c r="B382" s="16" t="n"/>
      <c r="C382" s="16" t="n"/>
      <c r="D382" s="16" t="n"/>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row>
    <row r="383">
      <c r="A383" s="16" t="n"/>
      <c r="B383" s="16" t="n"/>
      <c r="C383" s="16" t="n"/>
      <c r="D383" s="16" t="n"/>
      <c r="E383" s="16" t="n"/>
      <c r="F383" s="16" t="n"/>
      <c r="G383" s="16" t="n"/>
      <c r="H383" s="16" t="n"/>
      <c r="I383" s="16" t="n"/>
      <c r="J383" s="16" t="n"/>
      <c r="K383" s="16" t="n"/>
      <c r="L383" s="16" t="n"/>
      <c r="M383" s="16" t="n"/>
      <c r="N383" s="16" t="n"/>
      <c r="O383" s="16" t="n"/>
      <c r="P383" s="16" t="n"/>
      <c r="Q383" s="16" t="n"/>
      <c r="R383" s="16" t="n"/>
      <c r="S383" s="16" t="n"/>
      <c r="T383" s="16" t="n"/>
      <c r="U383" s="16" t="n"/>
      <c r="V383" s="16" t="n"/>
      <c r="W383" s="16" t="n"/>
      <c r="X383" s="16" t="n"/>
      <c r="Y383" s="16" t="n"/>
      <c r="Z383" s="16" t="n"/>
      <c r="AA383" s="16" t="n"/>
    </row>
    <row r="384">
      <c r="A384" s="16" t="n"/>
      <c r="B384" s="16" t="n"/>
      <c r="C384" s="16" t="n"/>
      <c r="D384" s="16" t="n"/>
      <c r="E384" s="16" t="n"/>
      <c r="F384" s="16" t="n"/>
      <c r="G384" s="16" t="n"/>
      <c r="H384" s="16" t="n"/>
      <c r="I384" s="16" t="n"/>
      <c r="J384" s="16" t="n"/>
      <c r="K384" s="16" t="n"/>
      <c r="L384" s="16" t="n"/>
      <c r="M384" s="16" t="n"/>
      <c r="N384" s="16" t="n"/>
      <c r="O384" s="16" t="n"/>
      <c r="P384" s="16" t="n"/>
      <c r="Q384" s="16" t="n"/>
      <c r="R384" s="16" t="n"/>
      <c r="S384" s="16" t="n"/>
      <c r="T384" s="16" t="n"/>
      <c r="U384" s="16" t="n"/>
      <c r="V384" s="16" t="n"/>
      <c r="W384" s="16" t="n"/>
      <c r="X384" s="16" t="n"/>
      <c r="Y384" s="16" t="n"/>
      <c r="Z384" s="16" t="n"/>
      <c r="AA384" s="16" t="n"/>
    </row>
    <row r="385">
      <c r="A385" s="16" t="n"/>
      <c r="B385" s="16" t="n"/>
      <c r="C385" s="16" t="n"/>
      <c r="D385" s="16" t="n"/>
      <c r="E385" s="16" t="n"/>
      <c r="F385" s="16" t="n"/>
      <c r="G385" s="16" t="n"/>
      <c r="H385" s="16" t="n"/>
      <c r="I385" s="16" t="n"/>
      <c r="J385" s="16" t="n"/>
      <c r="K385" s="16" t="n"/>
      <c r="L385" s="16" t="n"/>
      <c r="M385" s="16" t="n"/>
      <c r="N385" s="16" t="n"/>
      <c r="O385" s="16" t="n"/>
      <c r="P385" s="16" t="n"/>
      <c r="Q385" s="16" t="n"/>
      <c r="R385" s="16" t="n"/>
      <c r="S385" s="16" t="n"/>
      <c r="T385" s="16" t="n"/>
      <c r="U385" s="16" t="n"/>
      <c r="V385" s="16" t="n"/>
      <c r="W385" s="16" t="n"/>
      <c r="X385" s="16" t="n"/>
      <c r="Y385" s="16" t="n"/>
      <c r="Z385" s="16" t="n"/>
      <c r="AA385" s="16" t="n"/>
    </row>
    <row r="386">
      <c r="A386" s="16" t="n"/>
      <c r="B386" s="16" t="n"/>
      <c r="C386" s="16" t="n"/>
      <c r="D386" s="16" t="n"/>
      <c r="E386" s="16" t="n"/>
      <c r="F386" s="16" t="n"/>
      <c r="G386" s="16" t="n"/>
      <c r="H386" s="16" t="n"/>
      <c r="I386" s="16" t="n"/>
      <c r="J386" s="16" t="n"/>
      <c r="K386" s="16" t="n"/>
      <c r="L386" s="16" t="n"/>
      <c r="M386" s="16" t="n"/>
      <c r="N386" s="16" t="n"/>
      <c r="O386" s="16" t="n"/>
      <c r="P386" s="16" t="n"/>
      <c r="Q386" s="16" t="n"/>
      <c r="R386" s="16" t="n"/>
      <c r="S386" s="16" t="n"/>
      <c r="T386" s="16" t="n"/>
      <c r="U386" s="16" t="n"/>
      <c r="V386" s="16" t="n"/>
      <c r="W386" s="16" t="n"/>
      <c r="X386" s="16" t="n"/>
      <c r="Y386" s="16" t="n"/>
      <c r="Z386" s="16" t="n"/>
      <c r="AA386" s="16" t="n"/>
    </row>
    <row r="387">
      <c r="A387" s="16" t="n"/>
      <c r="B387" s="16" t="n"/>
      <c r="C387" s="16" t="n"/>
      <c r="D387" s="16" t="n"/>
      <c r="E387" s="16" t="n"/>
      <c r="F387" s="16" t="n"/>
      <c r="G387" s="16" t="n"/>
      <c r="H387" s="16" t="n"/>
      <c r="I387" s="16" t="n"/>
      <c r="J387" s="16" t="n"/>
      <c r="K387" s="16" t="n"/>
      <c r="L387" s="16" t="n"/>
      <c r="M387" s="16" t="n"/>
      <c r="N387" s="16" t="n"/>
      <c r="O387" s="16" t="n"/>
      <c r="P387" s="16" t="n"/>
      <c r="Q387" s="16" t="n"/>
      <c r="R387" s="16" t="n"/>
      <c r="S387" s="16" t="n"/>
      <c r="T387" s="16" t="n"/>
      <c r="U387" s="16" t="n"/>
      <c r="V387" s="16" t="n"/>
      <c r="W387" s="16" t="n"/>
      <c r="X387" s="16" t="n"/>
      <c r="Y387" s="16" t="n"/>
      <c r="Z387" s="16" t="n"/>
      <c r="AA387" s="16" t="n"/>
    </row>
    <row r="388">
      <c r="A388" s="16" t="n"/>
      <c r="B388" s="16" t="n"/>
      <c r="C388" s="16" t="n"/>
      <c r="D388" s="16" t="n"/>
      <c r="E388" s="16" t="n"/>
      <c r="F388" s="16" t="n"/>
      <c r="G388" s="16" t="n"/>
      <c r="H388" s="16" t="n"/>
      <c r="I388" s="16" t="n"/>
      <c r="J388" s="16" t="n"/>
      <c r="K388" s="16" t="n"/>
      <c r="L388" s="16" t="n"/>
      <c r="M388" s="16" t="n"/>
      <c r="N388" s="16" t="n"/>
      <c r="O388" s="16" t="n"/>
      <c r="P388" s="16" t="n"/>
      <c r="Q388" s="16" t="n"/>
      <c r="R388" s="16" t="n"/>
      <c r="S388" s="16" t="n"/>
      <c r="T388" s="16" t="n"/>
      <c r="U388" s="16" t="n"/>
      <c r="V388" s="16" t="n"/>
      <c r="W388" s="16" t="n"/>
      <c r="X388" s="16" t="n"/>
      <c r="Y388" s="16" t="n"/>
      <c r="Z388" s="16" t="n"/>
      <c r="AA388" s="16" t="n"/>
    </row>
    <row r="389">
      <c r="A389" s="16" t="n"/>
      <c r="B389" s="16" t="n"/>
      <c r="C389" s="16" t="n"/>
      <c r="D389" s="16" t="n"/>
      <c r="E389" s="16" t="n"/>
      <c r="F389" s="16" t="n"/>
      <c r="G389" s="16" t="n"/>
      <c r="H389" s="16" t="n"/>
      <c r="I389" s="16" t="n"/>
      <c r="J389" s="16" t="n"/>
      <c r="K389" s="16" t="n"/>
      <c r="L389" s="16" t="n"/>
      <c r="M389" s="16" t="n"/>
      <c r="N389" s="16" t="n"/>
      <c r="O389" s="16" t="n"/>
      <c r="P389" s="16" t="n"/>
      <c r="Q389" s="16" t="n"/>
      <c r="R389" s="16" t="n"/>
      <c r="S389" s="16" t="n"/>
      <c r="T389" s="16" t="n"/>
      <c r="U389" s="16" t="n"/>
      <c r="V389" s="16" t="n"/>
      <c r="W389" s="16" t="n"/>
      <c r="X389" s="16" t="n"/>
      <c r="Y389" s="16" t="n"/>
      <c r="Z389" s="16" t="n"/>
      <c r="AA389" s="16" t="n"/>
    </row>
    <row r="390">
      <c r="A390" s="16" t="n"/>
      <c r="B390" s="16" t="n"/>
      <c r="C390" s="16" t="n"/>
      <c r="D390" s="16" t="n"/>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c r="AA390" s="16" t="n"/>
    </row>
    <row r="391">
      <c r="A391" s="16" t="n"/>
      <c r="B391" s="16" t="n"/>
      <c r="C391" s="16" t="n"/>
      <c r="D391" s="16" t="n"/>
      <c r="E391" s="16" t="n"/>
      <c r="F391" s="16" t="n"/>
      <c r="G391" s="16" t="n"/>
      <c r="H391" s="16" t="n"/>
      <c r="I391" s="16" t="n"/>
      <c r="J391" s="16" t="n"/>
      <c r="K391" s="16" t="n"/>
      <c r="L391" s="16" t="n"/>
      <c r="M391" s="16" t="n"/>
      <c r="N391" s="16" t="n"/>
      <c r="O391" s="16" t="n"/>
      <c r="P391" s="16" t="n"/>
      <c r="Q391" s="16" t="n"/>
      <c r="R391" s="16" t="n"/>
      <c r="S391" s="16" t="n"/>
      <c r="T391" s="16" t="n"/>
      <c r="U391" s="16" t="n"/>
      <c r="V391" s="16" t="n"/>
      <c r="W391" s="16" t="n"/>
      <c r="X391" s="16" t="n"/>
      <c r="Y391" s="16" t="n"/>
      <c r="Z391" s="16" t="n"/>
      <c r="AA391" s="16" t="n"/>
    </row>
    <row r="392">
      <c r="A392" s="16" t="n"/>
      <c r="B392" s="16" t="n"/>
      <c r="C392" s="16" t="n"/>
      <c r="D392" s="16" t="n"/>
      <c r="E392" s="16" t="n"/>
      <c r="F392" s="16" t="n"/>
      <c r="G392" s="16" t="n"/>
      <c r="H392" s="16" t="n"/>
      <c r="I392" s="16" t="n"/>
      <c r="J392" s="16" t="n"/>
      <c r="K392" s="16" t="n"/>
      <c r="L392" s="16" t="n"/>
      <c r="M392" s="16" t="n"/>
      <c r="N392" s="16" t="n"/>
      <c r="O392" s="16" t="n"/>
      <c r="P392" s="16" t="n"/>
      <c r="Q392" s="16" t="n"/>
      <c r="R392" s="16" t="n"/>
      <c r="S392" s="16" t="n"/>
      <c r="T392" s="16" t="n"/>
      <c r="U392" s="16" t="n"/>
      <c r="V392" s="16" t="n"/>
      <c r="W392" s="16" t="n"/>
      <c r="X392" s="16" t="n"/>
      <c r="Y392" s="16" t="n"/>
      <c r="Z392" s="16" t="n"/>
      <c r="AA392" s="16" t="n"/>
    </row>
    <row r="393">
      <c r="A393" s="16" t="n"/>
      <c r="B393" s="16" t="n"/>
      <c r="C393" s="16" t="n"/>
      <c r="D393" s="16" t="n"/>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c r="AA393" s="16" t="n"/>
    </row>
    <row r="394">
      <c r="A394" s="16" t="n"/>
      <c r="B394" s="16" t="n"/>
      <c r="C394" s="16" t="n"/>
      <c r="D394" s="16" t="n"/>
      <c r="E394" s="16" t="n"/>
      <c r="F394" s="16" t="n"/>
      <c r="G394" s="16" t="n"/>
      <c r="H394" s="16" t="n"/>
      <c r="I394" s="16" t="n"/>
      <c r="J394" s="16" t="n"/>
      <c r="K394" s="16" t="n"/>
      <c r="L394" s="16" t="n"/>
      <c r="M394" s="16" t="n"/>
      <c r="N394" s="16" t="n"/>
      <c r="O394" s="16" t="n"/>
      <c r="P394" s="16" t="n"/>
      <c r="Q394" s="16" t="n"/>
      <c r="R394" s="16" t="n"/>
      <c r="S394" s="16" t="n"/>
      <c r="T394" s="16" t="n"/>
      <c r="U394" s="16" t="n"/>
      <c r="V394" s="16" t="n"/>
      <c r="W394" s="16" t="n"/>
      <c r="X394" s="16" t="n"/>
      <c r="Y394" s="16" t="n"/>
      <c r="Z394" s="16" t="n"/>
      <c r="AA394" s="16" t="n"/>
    </row>
    <row r="395">
      <c r="A395" s="16" t="n"/>
      <c r="B395" s="16" t="n"/>
      <c r="C395" s="16" t="n"/>
      <c r="D395" s="16" t="n"/>
      <c r="E395" s="16" t="n"/>
      <c r="F395" s="16" t="n"/>
      <c r="G395" s="16" t="n"/>
      <c r="H395" s="16" t="n"/>
      <c r="I395" s="16" t="n"/>
      <c r="J395" s="16" t="n"/>
      <c r="K395" s="16" t="n"/>
      <c r="L395" s="16" t="n"/>
      <c r="M395" s="16" t="n"/>
      <c r="N395" s="16" t="n"/>
      <c r="O395" s="16" t="n"/>
      <c r="P395" s="16" t="n"/>
      <c r="Q395" s="16" t="n"/>
      <c r="R395" s="16" t="n"/>
      <c r="S395" s="16" t="n"/>
      <c r="T395" s="16" t="n"/>
      <c r="U395" s="16" t="n"/>
      <c r="V395" s="16" t="n"/>
      <c r="W395" s="16" t="n"/>
      <c r="X395" s="16" t="n"/>
      <c r="Y395" s="16" t="n"/>
      <c r="Z395" s="16" t="n"/>
      <c r="AA395" s="16" t="n"/>
    </row>
    <row r="396">
      <c r="A396" s="16" t="n"/>
      <c r="B396" s="16" t="n"/>
      <c r="C396" s="16" t="n"/>
      <c r="D396" s="16" t="n"/>
      <c r="E396" s="16" t="n"/>
      <c r="F396" s="16" t="n"/>
      <c r="G396" s="16" t="n"/>
      <c r="H396" s="16" t="n"/>
      <c r="I396" s="16" t="n"/>
      <c r="J396" s="16" t="n"/>
      <c r="K396" s="16" t="n"/>
      <c r="L396" s="16" t="n"/>
      <c r="M396" s="16" t="n"/>
      <c r="N396" s="16" t="n"/>
      <c r="O396" s="16" t="n"/>
      <c r="P396" s="16" t="n"/>
      <c r="Q396" s="16" t="n"/>
      <c r="R396" s="16" t="n"/>
      <c r="S396" s="16" t="n"/>
      <c r="T396" s="16" t="n"/>
      <c r="U396" s="16" t="n"/>
      <c r="V396" s="16" t="n"/>
      <c r="W396" s="16" t="n"/>
      <c r="X396" s="16" t="n"/>
      <c r="Y396" s="16" t="n"/>
      <c r="Z396" s="16" t="n"/>
      <c r="AA396" s="16" t="n"/>
    </row>
    <row r="397">
      <c r="A397" s="16" t="n"/>
      <c r="B397" s="16" t="n"/>
      <c r="C397" s="16" t="n"/>
      <c r="D397" s="16" t="n"/>
      <c r="E397" s="16" t="n"/>
      <c r="F397" s="16" t="n"/>
      <c r="G397" s="16" t="n"/>
      <c r="H397" s="16" t="n"/>
      <c r="I397" s="16" t="n"/>
      <c r="J397" s="16" t="n"/>
      <c r="K397" s="16" t="n"/>
      <c r="L397" s="16" t="n"/>
      <c r="M397" s="16" t="n"/>
      <c r="N397" s="16" t="n"/>
      <c r="O397" s="16" t="n"/>
      <c r="P397" s="16" t="n"/>
      <c r="Q397" s="16" t="n"/>
      <c r="R397" s="16" t="n"/>
      <c r="S397" s="16" t="n"/>
      <c r="T397" s="16" t="n"/>
      <c r="U397" s="16" t="n"/>
      <c r="V397" s="16" t="n"/>
      <c r="W397" s="16" t="n"/>
      <c r="X397" s="16" t="n"/>
      <c r="Y397" s="16" t="n"/>
      <c r="Z397" s="16" t="n"/>
      <c r="AA397" s="16" t="n"/>
    </row>
    <row r="398">
      <c r="A398" s="16" t="n"/>
      <c r="B398" s="16" t="n"/>
      <c r="C398" s="16" t="n"/>
      <c r="D398" s="16" t="n"/>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row>
    <row r="399">
      <c r="A399" s="16" t="n"/>
      <c r="B399" s="16" t="n"/>
      <c r="C399" s="16" t="n"/>
      <c r="D399" s="16" t="n"/>
      <c r="E399" s="16" t="n"/>
      <c r="F399" s="16" t="n"/>
      <c r="G399" s="16" t="n"/>
      <c r="H399" s="16" t="n"/>
      <c r="I399" s="16" t="n"/>
      <c r="J399" s="16" t="n"/>
      <c r="K399" s="16" t="n"/>
      <c r="L399" s="16" t="n"/>
      <c r="M399" s="16" t="n"/>
      <c r="N399" s="16" t="n"/>
      <c r="O399" s="16" t="n"/>
      <c r="P399" s="16" t="n"/>
      <c r="Q399" s="16" t="n"/>
      <c r="R399" s="16" t="n"/>
      <c r="S399" s="16" t="n"/>
      <c r="T399" s="16" t="n"/>
      <c r="U399" s="16" t="n"/>
      <c r="V399" s="16" t="n"/>
      <c r="W399" s="16" t="n"/>
      <c r="X399" s="16" t="n"/>
      <c r="Y399" s="16" t="n"/>
      <c r="Z399" s="16" t="n"/>
      <c r="AA399" s="16" t="n"/>
    </row>
    <row r="400">
      <c r="A400" s="16" t="n"/>
      <c r="B400" s="16" t="n"/>
      <c r="C400" s="16" t="n"/>
      <c r="D400" s="16" t="n"/>
      <c r="E400" s="16" t="n"/>
      <c r="F400" s="16" t="n"/>
      <c r="G400" s="16" t="n"/>
      <c r="H400" s="16" t="n"/>
      <c r="I400" s="16" t="n"/>
      <c r="J400" s="16" t="n"/>
      <c r="K400" s="16" t="n"/>
      <c r="L400" s="16" t="n"/>
      <c r="M400" s="16" t="n"/>
      <c r="N400" s="16" t="n"/>
      <c r="O400" s="16" t="n"/>
      <c r="P400" s="16" t="n"/>
      <c r="Q400" s="16" t="n"/>
      <c r="R400" s="16" t="n"/>
      <c r="S400" s="16" t="n"/>
      <c r="T400" s="16" t="n"/>
      <c r="U400" s="16" t="n"/>
      <c r="V400" s="16" t="n"/>
      <c r="W400" s="16" t="n"/>
      <c r="X400" s="16" t="n"/>
      <c r="Y400" s="16" t="n"/>
      <c r="Z400" s="16" t="n"/>
      <c r="AA400" s="16" t="n"/>
    </row>
    <row r="401">
      <c r="A401" s="16" t="n"/>
      <c r="B401" s="16" t="n"/>
      <c r="C401" s="16" t="n"/>
      <c r="D401" s="16" t="n"/>
      <c r="E401" s="16" t="n"/>
      <c r="F401" s="16" t="n"/>
      <c r="G401" s="16" t="n"/>
      <c r="H401" s="16" t="n"/>
      <c r="I401" s="16" t="n"/>
      <c r="J401" s="16" t="n"/>
      <c r="K401" s="16" t="n"/>
      <c r="L401" s="16" t="n"/>
      <c r="M401" s="16" t="n"/>
      <c r="N401" s="16" t="n"/>
      <c r="O401" s="16" t="n"/>
      <c r="P401" s="16" t="n"/>
      <c r="Q401" s="16" t="n"/>
      <c r="R401" s="16" t="n"/>
      <c r="S401" s="16" t="n"/>
      <c r="T401" s="16" t="n"/>
      <c r="U401" s="16" t="n"/>
      <c r="V401" s="16" t="n"/>
      <c r="W401" s="16" t="n"/>
      <c r="X401" s="16" t="n"/>
      <c r="Y401" s="16" t="n"/>
      <c r="Z401" s="16" t="n"/>
      <c r="AA401" s="16" t="n"/>
    </row>
    <row r="402">
      <c r="A402" s="16" t="n"/>
      <c r="B402" s="16" t="n"/>
      <c r="C402" s="16" t="n"/>
      <c r="D402" s="16" t="n"/>
      <c r="E402" s="16" t="n"/>
      <c r="F402" s="16" t="n"/>
      <c r="G402" s="16" t="n"/>
      <c r="H402" s="16" t="n"/>
      <c r="I402" s="16" t="n"/>
      <c r="J402" s="16" t="n"/>
      <c r="K402" s="16" t="n"/>
      <c r="L402" s="16" t="n"/>
      <c r="M402" s="16" t="n"/>
      <c r="N402" s="16" t="n"/>
      <c r="O402" s="16" t="n"/>
      <c r="P402" s="16" t="n"/>
      <c r="Q402" s="16" t="n"/>
      <c r="R402" s="16" t="n"/>
      <c r="S402" s="16" t="n"/>
      <c r="T402" s="16" t="n"/>
      <c r="U402" s="16" t="n"/>
      <c r="V402" s="16" t="n"/>
      <c r="W402" s="16" t="n"/>
      <c r="X402" s="16" t="n"/>
      <c r="Y402" s="16" t="n"/>
      <c r="Z402" s="16" t="n"/>
      <c r="AA402" s="16" t="n"/>
    </row>
    <row r="403">
      <c r="A403" s="16" t="n"/>
      <c r="B403" s="16" t="n"/>
      <c r="C403" s="16" t="n"/>
      <c r="D403" s="16" t="n"/>
      <c r="E403" s="16" t="n"/>
      <c r="F403" s="16" t="n"/>
      <c r="G403" s="16" t="n"/>
      <c r="H403" s="16" t="n"/>
      <c r="I403" s="16" t="n"/>
      <c r="J403" s="16" t="n"/>
      <c r="K403" s="16" t="n"/>
      <c r="L403" s="16" t="n"/>
      <c r="M403" s="16" t="n"/>
      <c r="N403" s="16" t="n"/>
      <c r="O403" s="16" t="n"/>
      <c r="P403" s="16" t="n"/>
      <c r="Q403" s="16" t="n"/>
      <c r="R403" s="16" t="n"/>
      <c r="S403" s="16" t="n"/>
      <c r="T403" s="16" t="n"/>
      <c r="U403" s="16" t="n"/>
      <c r="V403" s="16" t="n"/>
      <c r="W403" s="16" t="n"/>
      <c r="X403" s="16" t="n"/>
      <c r="Y403" s="16" t="n"/>
      <c r="Z403" s="16" t="n"/>
      <c r="AA403" s="16" t="n"/>
    </row>
    <row r="404">
      <c r="A404" s="16" t="n"/>
      <c r="B404" s="16" t="n"/>
      <c r="C404" s="16" t="n"/>
      <c r="D404" s="16" t="n"/>
      <c r="E404" s="16" t="n"/>
      <c r="F404" s="16" t="n"/>
      <c r="G404" s="16" t="n"/>
      <c r="H404" s="16" t="n"/>
      <c r="I404" s="16" t="n"/>
      <c r="J404" s="16" t="n"/>
      <c r="K404" s="16" t="n"/>
      <c r="L404" s="16" t="n"/>
      <c r="M404" s="16" t="n"/>
      <c r="N404" s="16" t="n"/>
      <c r="O404" s="16" t="n"/>
      <c r="P404" s="16" t="n"/>
      <c r="Q404" s="16" t="n"/>
      <c r="R404" s="16" t="n"/>
      <c r="S404" s="16" t="n"/>
      <c r="T404" s="16" t="n"/>
      <c r="U404" s="16" t="n"/>
      <c r="V404" s="16" t="n"/>
      <c r="W404" s="16" t="n"/>
      <c r="X404" s="16" t="n"/>
      <c r="Y404" s="16" t="n"/>
      <c r="Z404" s="16" t="n"/>
      <c r="AA404" s="16" t="n"/>
    </row>
    <row r="405">
      <c r="A405" s="16" t="n"/>
      <c r="B405" s="16" t="n"/>
      <c r="C405" s="16" t="n"/>
      <c r="D405" s="16" t="n"/>
      <c r="E405" s="16" t="n"/>
      <c r="F405" s="16" t="n"/>
      <c r="G405" s="16" t="n"/>
      <c r="H405" s="16" t="n"/>
      <c r="I405" s="16" t="n"/>
      <c r="J405" s="16" t="n"/>
      <c r="K405" s="16" t="n"/>
      <c r="L405" s="16" t="n"/>
      <c r="M405" s="16" t="n"/>
      <c r="N405" s="16" t="n"/>
      <c r="O405" s="16" t="n"/>
      <c r="P405" s="16" t="n"/>
      <c r="Q405" s="16" t="n"/>
      <c r="R405" s="16" t="n"/>
      <c r="S405" s="16" t="n"/>
      <c r="T405" s="16" t="n"/>
      <c r="U405" s="16" t="n"/>
      <c r="V405" s="16" t="n"/>
      <c r="W405" s="16" t="n"/>
      <c r="X405" s="16" t="n"/>
      <c r="Y405" s="16" t="n"/>
      <c r="Z405" s="16" t="n"/>
      <c r="AA405" s="16" t="n"/>
    </row>
    <row r="406">
      <c r="A406" s="16" t="n"/>
      <c r="B406" s="16" t="n"/>
      <c r="C406" s="16" t="n"/>
      <c r="D406" s="16" t="n"/>
      <c r="E406" s="16" t="n"/>
      <c r="F406" s="16" t="n"/>
      <c r="G406" s="16" t="n"/>
      <c r="H406" s="16" t="n"/>
      <c r="I406" s="16" t="n"/>
      <c r="J406" s="16" t="n"/>
      <c r="K406" s="16" t="n"/>
      <c r="L406" s="16" t="n"/>
      <c r="M406" s="16" t="n"/>
      <c r="N406" s="16" t="n"/>
      <c r="O406" s="16" t="n"/>
      <c r="P406" s="16" t="n"/>
      <c r="Q406" s="16" t="n"/>
      <c r="R406" s="16" t="n"/>
      <c r="S406" s="16" t="n"/>
      <c r="T406" s="16" t="n"/>
      <c r="U406" s="16" t="n"/>
      <c r="V406" s="16" t="n"/>
      <c r="W406" s="16" t="n"/>
      <c r="X406" s="16" t="n"/>
      <c r="Y406" s="16" t="n"/>
      <c r="Z406" s="16" t="n"/>
      <c r="AA406" s="16" t="n"/>
    </row>
    <row r="407">
      <c r="A407" s="16" t="n"/>
      <c r="B407" s="16" t="n"/>
      <c r="C407" s="16" t="n"/>
      <c r="D407" s="16" t="n"/>
      <c r="E407" s="16" t="n"/>
      <c r="F407" s="16" t="n"/>
      <c r="G407" s="16" t="n"/>
      <c r="H407" s="16" t="n"/>
      <c r="I407" s="16" t="n"/>
      <c r="J407" s="16" t="n"/>
      <c r="K407" s="16" t="n"/>
      <c r="L407" s="16" t="n"/>
      <c r="M407" s="16" t="n"/>
      <c r="N407" s="16" t="n"/>
      <c r="O407" s="16" t="n"/>
      <c r="P407" s="16" t="n"/>
      <c r="Q407" s="16" t="n"/>
      <c r="R407" s="16" t="n"/>
      <c r="S407" s="16" t="n"/>
      <c r="T407" s="16" t="n"/>
      <c r="U407" s="16" t="n"/>
      <c r="V407" s="16" t="n"/>
      <c r="W407" s="16" t="n"/>
      <c r="X407" s="16" t="n"/>
      <c r="Y407" s="16" t="n"/>
      <c r="Z407" s="16" t="n"/>
      <c r="AA407" s="16" t="n"/>
    </row>
    <row r="408">
      <c r="A408" s="16" t="n"/>
      <c r="B408" s="16" t="n"/>
      <c r="C408" s="16" t="n"/>
      <c r="D408" s="16" t="n"/>
      <c r="E408" s="16" t="n"/>
      <c r="F408" s="16" t="n"/>
      <c r="G408" s="16" t="n"/>
      <c r="H408" s="16" t="n"/>
      <c r="I408" s="16" t="n"/>
      <c r="J408" s="16" t="n"/>
      <c r="K408" s="16" t="n"/>
      <c r="L408" s="16" t="n"/>
      <c r="M408" s="16" t="n"/>
      <c r="N408" s="16" t="n"/>
      <c r="O408" s="16" t="n"/>
      <c r="P408" s="16" t="n"/>
      <c r="Q408" s="16" t="n"/>
      <c r="R408" s="16" t="n"/>
      <c r="S408" s="16" t="n"/>
      <c r="T408" s="16" t="n"/>
      <c r="U408" s="16" t="n"/>
      <c r="V408" s="16" t="n"/>
      <c r="W408" s="16" t="n"/>
      <c r="X408" s="16" t="n"/>
      <c r="Y408" s="16" t="n"/>
      <c r="Z408" s="16" t="n"/>
      <c r="AA408" s="16" t="n"/>
    </row>
    <row r="409">
      <c r="A409" s="16" t="n"/>
      <c r="B409" s="16" t="n"/>
      <c r="C409" s="16" t="n"/>
      <c r="D409" s="16" t="n"/>
      <c r="E409" s="16" t="n"/>
      <c r="F409" s="16" t="n"/>
      <c r="G409" s="16" t="n"/>
      <c r="H409" s="16" t="n"/>
      <c r="I409" s="16" t="n"/>
      <c r="J409" s="16" t="n"/>
      <c r="K409" s="16" t="n"/>
      <c r="L409" s="16" t="n"/>
      <c r="M409" s="16" t="n"/>
      <c r="N409" s="16" t="n"/>
      <c r="O409" s="16" t="n"/>
      <c r="P409" s="16" t="n"/>
      <c r="Q409" s="16" t="n"/>
      <c r="R409" s="16" t="n"/>
      <c r="S409" s="16" t="n"/>
      <c r="T409" s="16" t="n"/>
      <c r="U409" s="16" t="n"/>
      <c r="V409" s="16" t="n"/>
      <c r="W409" s="16" t="n"/>
      <c r="X409" s="16" t="n"/>
      <c r="Y409" s="16" t="n"/>
      <c r="Z409" s="16" t="n"/>
      <c r="AA409" s="16" t="n"/>
    </row>
    <row r="410">
      <c r="A410" s="16" t="n"/>
      <c r="B410" s="16" t="n"/>
      <c r="C410" s="16" t="n"/>
      <c r="D410" s="16" t="n"/>
      <c r="E410" s="16" t="n"/>
      <c r="F410" s="16" t="n"/>
      <c r="G410" s="16" t="n"/>
      <c r="H410" s="16" t="n"/>
      <c r="I410" s="16" t="n"/>
      <c r="J410" s="16" t="n"/>
      <c r="K410" s="16" t="n"/>
      <c r="L410" s="16" t="n"/>
      <c r="M410" s="16" t="n"/>
      <c r="N410" s="16" t="n"/>
      <c r="O410" s="16" t="n"/>
      <c r="P410" s="16" t="n"/>
      <c r="Q410" s="16" t="n"/>
      <c r="R410" s="16" t="n"/>
      <c r="S410" s="16" t="n"/>
      <c r="T410" s="16" t="n"/>
      <c r="U410" s="16" t="n"/>
      <c r="V410" s="16" t="n"/>
      <c r="W410" s="16" t="n"/>
      <c r="X410" s="16" t="n"/>
      <c r="Y410" s="16" t="n"/>
      <c r="Z410" s="16" t="n"/>
      <c r="AA410" s="16" t="n"/>
    </row>
    <row r="411">
      <c r="A411" s="16" t="n"/>
      <c r="B411" s="16" t="n"/>
      <c r="C411" s="16" t="n"/>
      <c r="D411" s="16" t="n"/>
      <c r="E411" s="16" t="n"/>
      <c r="F411" s="16" t="n"/>
      <c r="G411" s="16" t="n"/>
      <c r="H411" s="16" t="n"/>
      <c r="I411" s="16" t="n"/>
      <c r="J411" s="16" t="n"/>
      <c r="K411" s="16" t="n"/>
      <c r="L411" s="16" t="n"/>
      <c r="M411" s="16" t="n"/>
      <c r="N411" s="16" t="n"/>
      <c r="O411" s="16" t="n"/>
      <c r="P411" s="16" t="n"/>
      <c r="Q411" s="16" t="n"/>
      <c r="R411" s="16" t="n"/>
      <c r="S411" s="16" t="n"/>
      <c r="T411" s="16" t="n"/>
      <c r="U411" s="16" t="n"/>
      <c r="V411" s="16" t="n"/>
      <c r="W411" s="16" t="n"/>
      <c r="X411" s="16" t="n"/>
      <c r="Y411" s="16" t="n"/>
      <c r="Z411" s="16" t="n"/>
      <c r="AA411" s="16" t="n"/>
    </row>
    <row r="412">
      <c r="A412" s="16" t="n"/>
      <c r="B412" s="16" t="n"/>
      <c r="C412" s="16" t="n"/>
      <c r="D412" s="16" t="n"/>
      <c r="E412" s="16" t="n"/>
      <c r="F412" s="16" t="n"/>
      <c r="G412" s="16" t="n"/>
      <c r="H412" s="16" t="n"/>
      <c r="I412" s="16" t="n"/>
      <c r="J412" s="16" t="n"/>
      <c r="K412" s="16" t="n"/>
      <c r="L412" s="16" t="n"/>
      <c r="M412" s="16" t="n"/>
      <c r="N412" s="16" t="n"/>
      <c r="O412" s="16" t="n"/>
      <c r="P412" s="16" t="n"/>
      <c r="Q412" s="16" t="n"/>
      <c r="R412" s="16" t="n"/>
      <c r="S412" s="16" t="n"/>
      <c r="T412" s="16" t="n"/>
      <c r="U412" s="16" t="n"/>
      <c r="V412" s="16" t="n"/>
      <c r="W412" s="16" t="n"/>
      <c r="X412" s="16" t="n"/>
      <c r="Y412" s="16" t="n"/>
      <c r="Z412" s="16" t="n"/>
      <c r="AA412" s="16" t="n"/>
    </row>
    <row r="413">
      <c r="A413" s="16" t="n"/>
      <c r="B413" s="16" t="n"/>
      <c r="C413" s="16" t="n"/>
      <c r="D413" s="16" t="n"/>
      <c r="E413" s="16" t="n"/>
      <c r="F413" s="16" t="n"/>
      <c r="G413" s="16" t="n"/>
      <c r="H413" s="16" t="n"/>
      <c r="I413" s="16" t="n"/>
      <c r="J413" s="16" t="n"/>
      <c r="K413" s="16" t="n"/>
      <c r="L413" s="16" t="n"/>
      <c r="M413" s="16" t="n"/>
      <c r="N413" s="16" t="n"/>
      <c r="O413" s="16" t="n"/>
      <c r="P413" s="16" t="n"/>
      <c r="Q413" s="16" t="n"/>
      <c r="R413" s="16" t="n"/>
      <c r="S413" s="16" t="n"/>
      <c r="T413" s="16" t="n"/>
      <c r="U413" s="16" t="n"/>
      <c r="V413" s="16" t="n"/>
      <c r="W413" s="16" t="n"/>
      <c r="X413" s="16" t="n"/>
      <c r="Y413" s="16" t="n"/>
      <c r="Z413" s="16" t="n"/>
      <c r="AA413" s="16" t="n"/>
    </row>
    <row r="414">
      <c r="A414" s="16" t="n"/>
      <c r="B414" s="16" t="n"/>
      <c r="C414" s="16" t="n"/>
      <c r="D414" s="16" t="n"/>
      <c r="E414" s="16" t="n"/>
      <c r="F414" s="16" t="n"/>
      <c r="G414" s="16" t="n"/>
      <c r="H414" s="16" t="n"/>
      <c r="I414" s="16" t="n"/>
      <c r="J414" s="16" t="n"/>
      <c r="K414" s="16" t="n"/>
      <c r="L414" s="16" t="n"/>
      <c r="M414" s="16" t="n"/>
      <c r="N414" s="16" t="n"/>
      <c r="O414" s="16" t="n"/>
      <c r="P414" s="16" t="n"/>
      <c r="Q414" s="16" t="n"/>
      <c r="R414" s="16" t="n"/>
      <c r="S414" s="16" t="n"/>
      <c r="T414" s="16" t="n"/>
      <c r="U414" s="16" t="n"/>
      <c r="V414" s="16" t="n"/>
      <c r="W414" s="16" t="n"/>
      <c r="X414" s="16" t="n"/>
      <c r="Y414" s="16" t="n"/>
      <c r="Z414" s="16" t="n"/>
      <c r="AA414" s="16" t="n"/>
    </row>
    <row r="415">
      <c r="A415" s="16" t="n"/>
      <c r="B415" s="16" t="n"/>
      <c r="C415" s="16" t="n"/>
      <c r="D415" s="16" t="n"/>
      <c r="E415" s="16" t="n"/>
      <c r="F415" s="16" t="n"/>
      <c r="G415" s="16" t="n"/>
      <c r="H415" s="16" t="n"/>
      <c r="I415" s="16" t="n"/>
      <c r="J415" s="16" t="n"/>
      <c r="K415" s="16" t="n"/>
      <c r="L415" s="16" t="n"/>
      <c r="M415" s="16" t="n"/>
      <c r="N415" s="16" t="n"/>
      <c r="O415" s="16" t="n"/>
      <c r="P415" s="16" t="n"/>
      <c r="Q415" s="16" t="n"/>
      <c r="R415" s="16" t="n"/>
      <c r="S415" s="16" t="n"/>
      <c r="T415" s="16" t="n"/>
      <c r="U415" s="16" t="n"/>
      <c r="V415" s="16" t="n"/>
      <c r="W415" s="16" t="n"/>
      <c r="X415" s="16" t="n"/>
      <c r="Y415" s="16" t="n"/>
      <c r="Z415" s="16" t="n"/>
      <c r="AA415" s="16" t="n"/>
    </row>
    <row r="416">
      <c r="A416" s="16" t="n"/>
      <c r="B416" s="16" t="n"/>
      <c r="C416" s="16" t="n"/>
      <c r="D416" s="16" t="n"/>
      <c r="E416" s="16" t="n"/>
      <c r="F416" s="16" t="n"/>
      <c r="G416" s="16" t="n"/>
      <c r="H416" s="16" t="n"/>
      <c r="I416" s="16" t="n"/>
      <c r="J416" s="16" t="n"/>
      <c r="K416" s="16" t="n"/>
      <c r="L416" s="16" t="n"/>
      <c r="M416" s="16" t="n"/>
      <c r="N416" s="16" t="n"/>
      <c r="O416" s="16" t="n"/>
      <c r="P416" s="16" t="n"/>
      <c r="Q416" s="16" t="n"/>
      <c r="R416" s="16" t="n"/>
      <c r="S416" s="16" t="n"/>
      <c r="T416" s="16" t="n"/>
      <c r="U416" s="16" t="n"/>
      <c r="V416" s="16" t="n"/>
      <c r="W416" s="16" t="n"/>
      <c r="X416" s="16" t="n"/>
      <c r="Y416" s="16" t="n"/>
      <c r="Z416" s="16" t="n"/>
      <c r="AA416" s="16" t="n"/>
    </row>
    <row r="417">
      <c r="A417" s="16" t="n"/>
      <c r="B417" s="16" t="n"/>
      <c r="C417" s="16" t="n"/>
      <c r="D417" s="16" t="n"/>
      <c r="E417" s="16" t="n"/>
      <c r="F417" s="16" t="n"/>
      <c r="G417" s="16" t="n"/>
      <c r="H417" s="16" t="n"/>
      <c r="I417" s="16" t="n"/>
      <c r="J417" s="16" t="n"/>
      <c r="K417" s="16" t="n"/>
      <c r="L417" s="16" t="n"/>
      <c r="M417" s="16" t="n"/>
      <c r="N417" s="16" t="n"/>
      <c r="O417" s="16" t="n"/>
      <c r="P417" s="16" t="n"/>
      <c r="Q417" s="16" t="n"/>
      <c r="R417" s="16" t="n"/>
      <c r="S417" s="16" t="n"/>
      <c r="T417" s="16" t="n"/>
      <c r="U417" s="16" t="n"/>
      <c r="V417" s="16" t="n"/>
      <c r="W417" s="16" t="n"/>
      <c r="X417" s="16" t="n"/>
      <c r="Y417" s="16" t="n"/>
      <c r="Z417" s="16" t="n"/>
      <c r="AA417" s="16" t="n"/>
    </row>
    <row r="418">
      <c r="A418" s="16" t="n"/>
      <c r="B418" s="16" t="n"/>
      <c r="C418" s="16" t="n"/>
      <c r="D418" s="16" t="n"/>
      <c r="E418" s="16" t="n"/>
      <c r="F418" s="16" t="n"/>
      <c r="G418" s="16" t="n"/>
      <c r="H418" s="16" t="n"/>
      <c r="I418" s="16" t="n"/>
      <c r="J418" s="16" t="n"/>
      <c r="K418" s="16" t="n"/>
      <c r="L418" s="16" t="n"/>
      <c r="M418" s="16" t="n"/>
      <c r="N418" s="16" t="n"/>
      <c r="O418" s="16" t="n"/>
      <c r="P418" s="16" t="n"/>
      <c r="Q418" s="16" t="n"/>
      <c r="R418" s="16" t="n"/>
      <c r="S418" s="16" t="n"/>
      <c r="T418" s="16" t="n"/>
      <c r="U418" s="16" t="n"/>
      <c r="V418" s="16" t="n"/>
      <c r="W418" s="16" t="n"/>
      <c r="X418" s="16" t="n"/>
      <c r="Y418" s="16" t="n"/>
      <c r="Z418" s="16" t="n"/>
      <c r="AA418" s="16" t="n"/>
    </row>
    <row r="419">
      <c r="A419" s="16" t="n"/>
      <c r="B419" s="16" t="n"/>
      <c r="C419" s="16" t="n"/>
      <c r="D419" s="16" t="n"/>
      <c r="E419" s="16" t="n"/>
      <c r="F419" s="16" t="n"/>
      <c r="G419" s="16" t="n"/>
      <c r="H419" s="16" t="n"/>
      <c r="I419" s="16" t="n"/>
      <c r="J419" s="16" t="n"/>
      <c r="K419" s="16" t="n"/>
      <c r="L419" s="16" t="n"/>
      <c r="M419" s="16" t="n"/>
      <c r="N419" s="16" t="n"/>
      <c r="O419" s="16" t="n"/>
      <c r="P419" s="16" t="n"/>
      <c r="Q419" s="16" t="n"/>
      <c r="R419" s="16" t="n"/>
      <c r="S419" s="16" t="n"/>
      <c r="T419" s="16" t="n"/>
      <c r="U419" s="16" t="n"/>
      <c r="V419" s="16" t="n"/>
      <c r="W419" s="16" t="n"/>
      <c r="X419" s="16" t="n"/>
      <c r="Y419" s="16" t="n"/>
      <c r="Z419" s="16" t="n"/>
      <c r="AA419" s="16" t="n"/>
    </row>
    <row r="420">
      <c r="A420" s="16" t="n"/>
      <c r="B420" s="16" t="n"/>
      <c r="C420" s="16" t="n"/>
      <c r="D420" s="16" t="n"/>
      <c r="E420" s="16" t="n"/>
      <c r="F420" s="16" t="n"/>
      <c r="G420" s="16" t="n"/>
      <c r="H420" s="16" t="n"/>
      <c r="I420" s="16" t="n"/>
      <c r="J420" s="16" t="n"/>
      <c r="K420" s="16" t="n"/>
      <c r="L420" s="16" t="n"/>
      <c r="M420" s="16" t="n"/>
      <c r="N420" s="16" t="n"/>
      <c r="O420" s="16" t="n"/>
      <c r="P420" s="16" t="n"/>
      <c r="Q420" s="16" t="n"/>
      <c r="R420" s="16" t="n"/>
      <c r="S420" s="16" t="n"/>
      <c r="T420" s="16" t="n"/>
      <c r="U420" s="16" t="n"/>
      <c r="V420" s="16" t="n"/>
      <c r="W420" s="16" t="n"/>
      <c r="X420" s="16" t="n"/>
      <c r="Y420" s="16" t="n"/>
      <c r="Z420" s="16" t="n"/>
      <c r="AA420" s="16" t="n"/>
    </row>
    <row r="421">
      <c r="A421" s="16" t="n"/>
      <c r="B421" s="16" t="n"/>
      <c r="C421" s="16" t="n"/>
      <c r="D421" s="16" t="n"/>
      <c r="E421" s="16" t="n"/>
      <c r="F421" s="16" t="n"/>
      <c r="G421" s="16" t="n"/>
      <c r="H421" s="16" t="n"/>
      <c r="I421" s="16" t="n"/>
      <c r="J421" s="16" t="n"/>
      <c r="K421" s="16" t="n"/>
      <c r="L421" s="16" t="n"/>
      <c r="M421" s="16" t="n"/>
      <c r="N421" s="16" t="n"/>
      <c r="O421" s="16" t="n"/>
      <c r="P421" s="16" t="n"/>
      <c r="Q421" s="16" t="n"/>
      <c r="R421" s="16" t="n"/>
      <c r="S421" s="16" t="n"/>
      <c r="T421" s="16" t="n"/>
      <c r="U421" s="16" t="n"/>
      <c r="V421" s="16" t="n"/>
      <c r="W421" s="16" t="n"/>
      <c r="X421" s="16" t="n"/>
      <c r="Y421" s="16" t="n"/>
      <c r="Z421" s="16" t="n"/>
      <c r="AA421" s="16" t="n"/>
    </row>
    <row r="422">
      <c r="A422" s="16" t="n"/>
      <c r="B422" s="16" t="n"/>
      <c r="C422" s="16" t="n"/>
      <c r="D422" s="16" t="n"/>
      <c r="E422" s="16" t="n"/>
      <c r="F422" s="16" t="n"/>
      <c r="G422" s="16" t="n"/>
      <c r="H422" s="16" t="n"/>
      <c r="I422" s="16" t="n"/>
      <c r="J422" s="16" t="n"/>
      <c r="K422" s="16" t="n"/>
      <c r="L422" s="16" t="n"/>
      <c r="M422" s="16" t="n"/>
      <c r="N422" s="16" t="n"/>
      <c r="O422" s="16" t="n"/>
      <c r="P422" s="16" t="n"/>
      <c r="Q422" s="16" t="n"/>
      <c r="R422" s="16" t="n"/>
      <c r="S422" s="16" t="n"/>
      <c r="T422" s="16" t="n"/>
      <c r="U422" s="16" t="n"/>
      <c r="V422" s="16" t="n"/>
      <c r="W422" s="16" t="n"/>
      <c r="X422" s="16" t="n"/>
      <c r="Y422" s="16" t="n"/>
      <c r="Z422" s="16" t="n"/>
      <c r="AA422" s="16" t="n"/>
    </row>
    <row r="423">
      <c r="A423" s="16" t="n"/>
      <c r="B423" s="16" t="n"/>
      <c r="C423" s="16" t="n"/>
      <c r="D423" s="16" t="n"/>
      <c r="E423" s="16" t="n"/>
      <c r="F423" s="16" t="n"/>
      <c r="G423" s="16" t="n"/>
      <c r="H423" s="16" t="n"/>
      <c r="I423" s="16" t="n"/>
      <c r="J423" s="16" t="n"/>
      <c r="K423" s="16" t="n"/>
      <c r="L423" s="16" t="n"/>
      <c r="M423" s="16" t="n"/>
      <c r="N423" s="16" t="n"/>
      <c r="O423" s="16" t="n"/>
      <c r="P423" s="16" t="n"/>
      <c r="Q423" s="16" t="n"/>
      <c r="R423" s="16" t="n"/>
      <c r="S423" s="16" t="n"/>
      <c r="T423" s="16" t="n"/>
      <c r="U423" s="16" t="n"/>
      <c r="V423" s="16" t="n"/>
      <c r="W423" s="16" t="n"/>
      <c r="X423" s="16" t="n"/>
      <c r="Y423" s="16" t="n"/>
      <c r="Z423" s="16" t="n"/>
      <c r="AA423" s="16" t="n"/>
    </row>
    <row r="424">
      <c r="A424" s="16" t="n"/>
      <c r="B424" s="16" t="n"/>
      <c r="C424" s="16" t="n"/>
      <c r="D424" s="16" t="n"/>
      <c r="E424" s="16" t="n"/>
      <c r="F424" s="16" t="n"/>
      <c r="G424" s="16" t="n"/>
      <c r="H424" s="16" t="n"/>
      <c r="I424" s="16" t="n"/>
      <c r="J424" s="16" t="n"/>
      <c r="K424" s="16" t="n"/>
      <c r="L424" s="16" t="n"/>
      <c r="M424" s="16" t="n"/>
      <c r="N424" s="16" t="n"/>
      <c r="O424" s="16" t="n"/>
      <c r="P424" s="16" t="n"/>
      <c r="Q424" s="16" t="n"/>
      <c r="R424" s="16" t="n"/>
      <c r="S424" s="16" t="n"/>
      <c r="T424" s="16" t="n"/>
      <c r="U424" s="16" t="n"/>
      <c r="V424" s="16" t="n"/>
      <c r="W424" s="16" t="n"/>
      <c r="X424" s="16" t="n"/>
      <c r="Y424" s="16" t="n"/>
      <c r="Z424" s="16" t="n"/>
      <c r="AA424" s="16" t="n"/>
    </row>
    <row r="425">
      <c r="A425" s="16" t="n"/>
      <c r="B425" s="16" t="n"/>
      <c r="C425" s="16" t="n"/>
      <c r="D425" s="16" t="n"/>
      <c r="E425" s="16" t="n"/>
      <c r="F425" s="16" t="n"/>
      <c r="G425" s="16" t="n"/>
      <c r="H425" s="16" t="n"/>
      <c r="I425" s="16" t="n"/>
      <c r="J425" s="16" t="n"/>
      <c r="K425" s="16" t="n"/>
      <c r="L425" s="16" t="n"/>
      <c r="M425" s="16" t="n"/>
      <c r="N425" s="16" t="n"/>
      <c r="O425" s="16" t="n"/>
      <c r="P425" s="16" t="n"/>
      <c r="Q425" s="16" t="n"/>
      <c r="R425" s="16" t="n"/>
      <c r="S425" s="16" t="n"/>
      <c r="T425" s="16" t="n"/>
      <c r="U425" s="16" t="n"/>
      <c r="V425" s="16" t="n"/>
      <c r="W425" s="16" t="n"/>
      <c r="X425" s="16" t="n"/>
      <c r="Y425" s="16" t="n"/>
      <c r="Z425" s="16" t="n"/>
      <c r="AA425" s="16" t="n"/>
    </row>
    <row r="426">
      <c r="A426" s="16" t="n"/>
      <c r="B426" s="16" t="n"/>
      <c r="C426" s="16" t="n"/>
      <c r="D426" s="16" t="n"/>
      <c r="E426" s="16" t="n"/>
      <c r="F426" s="16" t="n"/>
      <c r="G426" s="16" t="n"/>
      <c r="H426" s="16" t="n"/>
      <c r="I426" s="16" t="n"/>
      <c r="J426" s="16" t="n"/>
      <c r="K426" s="16" t="n"/>
      <c r="L426" s="16" t="n"/>
      <c r="M426" s="16" t="n"/>
      <c r="N426" s="16" t="n"/>
      <c r="O426" s="16" t="n"/>
      <c r="P426" s="16" t="n"/>
      <c r="Q426" s="16" t="n"/>
      <c r="R426" s="16" t="n"/>
      <c r="S426" s="16" t="n"/>
      <c r="T426" s="16" t="n"/>
      <c r="U426" s="16" t="n"/>
      <c r="V426" s="16" t="n"/>
      <c r="W426" s="16" t="n"/>
      <c r="X426" s="16" t="n"/>
      <c r="Y426" s="16" t="n"/>
      <c r="Z426" s="16" t="n"/>
      <c r="AA426" s="16" t="n"/>
    </row>
    <row r="427">
      <c r="A427" s="16" t="n"/>
      <c r="B427" s="16" t="n"/>
      <c r="C427" s="16" t="n"/>
      <c r="D427" s="16" t="n"/>
      <c r="E427" s="16" t="n"/>
      <c r="F427" s="16" t="n"/>
      <c r="G427" s="16" t="n"/>
      <c r="H427" s="16" t="n"/>
      <c r="I427" s="16" t="n"/>
      <c r="J427" s="16" t="n"/>
      <c r="K427" s="16" t="n"/>
      <c r="L427" s="16" t="n"/>
      <c r="M427" s="16" t="n"/>
      <c r="N427" s="16" t="n"/>
      <c r="O427" s="16" t="n"/>
      <c r="P427" s="16" t="n"/>
      <c r="Q427" s="16" t="n"/>
      <c r="R427" s="16" t="n"/>
      <c r="S427" s="16" t="n"/>
      <c r="T427" s="16" t="n"/>
      <c r="U427" s="16" t="n"/>
      <c r="V427" s="16" t="n"/>
      <c r="W427" s="16" t="n"/>
      <c r="X427" s="16" t="n"/>
      <c r="Y427" s="16" t="n"/>
      <c r="Z427" s="16" t="n"/>
      <c r="AA427" s="16" t="n"/>
    </row>
    <row r="428">
      <c r="A428" s="16" t="n"/>
      <c r="B428" s="16" t="n"/>
      <c r="C428" s="16" t="n"/>
      <c r="D428" s="16" t="n"/>
      <c r="E428" s="16" t="n"/>
      <c r="F428" s="16" t="n"/>
      <c r="G428" s="16" t="n"/>
      <c r="H428" s="16" t="n"/>
      <c r="I428" s="16" t="n"/>
      <c r="J428" s="16" t="n"/>
      <c r="K428" s="16" t="n"/>
      <c r="L428" s="16" t="n"/>
      <c r="M428" s="16" t="n"/>
      <c r="N428" s="16" t="n"/>
      <c r="O428" s="16" t="n"/>
      <c r="P428" s="16" t="n"/>
      <c r="Q428" s="16" t="n"/>
      <c r="R428" s="16" t="n"/>
      <c r="S428" s="16" t="n"/>
      <c r="T428" s="16" t="n"/>
      <c r="U428" s="16" t="n"/>
      <c r="V428" s="16" t="n"/>
      <c r="W428" s="16" t="n"/>
      <c r="X428" s="16" t="n"/>
      <c r="Y428" s="16" t="n"/>
      <c r="Z428" s="16" t="n"/>
      <c r="AA428" s="16" t="n"/>
    </row>
    <row r="429">
      <c r="A429" s="16" t="n"/>
      <c r="B429" s="16" t="n"/>
      <c r="C429" s="16" t="n"/>
      <c r="D429" s="16" t="n"/>
      <c r="E429" s="16" t="n"/>
      <c r="F429" s="16" t="n"/>
      <c r="G429" s="16" t="n"/>
      <c r="H429" s="16" t="n"/>
      <c r="I429" s="16" t="n"/>
      <c r="J429" s="16" t="n"/>
      <c r="K429" s="16" t="n"/>
      <c r="L429" s="16" t="n"/>
      <c r="M429" s="16" t="n"/>
      <c r="N429" s="16" t="n"/>
      <c r="O429" s="16" t="n"/>
      <c r="P429" s="16" t="n"/>
      <c r="Q429" s="16" t="n"/>
      <c r="R429" s="16" t="n"/>
      <c r="S429" s="16" t="n"/>
      <c r="T429" s="16" t="n"/>
      <c r="U429" s="16" t="n"/>
      <c r="V429" s="16" t="n"/>
      <c r="W429" s="16" t="n"/>
      <c r="X429" s="16" t="n"/>
      <c r="Y429" s="16" t="n"/>
      <c r="Z429" s="16" t="n"/>
      <c r="AA429" s="16" t="n"/>
    </row>
    <row r="430">
      <c r="A430" s="16" t="n"/>
      <c r="B430" s="16" t="n"/>
      <c r="C430" s="16" t="n"/>
      <c r="D430" s="16" t="n"/>
      <c r="E430" s="16" t="n"/>
      <c r="F430" s="16" t="n"/>
      <c r="G430" s="16" t="n"/>
      <c r="H430" s="16" t="n"/>
      <c r="I430" s="16" t="n"/>
      <c r="J430" s="16" t="n"/>
      <c r="K430" s="16" t="n"/>
      <c r="L430" s="16" t="n"/>
      <c r="M430" s="16" t="n"/>
      <c r="N430" s="16" t="n"/>
      <c r="O430" s="16" t="n"/>
      <c r="P430" s="16" t="n"/>
      <c r="Q430" s="16" t="n"/>
      <c r="R430" s="16" t="n"/>
      <c r="S430" s="16" t="n"/>
      <c r="T430" s="16" t="n"/>
      <c r="U430" s="16" t="n"/>
      <c r="V430" s="16" t="n"/>
      <c r="W430" s="16" t="n"/>
      <c r="X430" s="16" t="n"/>
      <c r="Y430" s="16" t="n"/>
      <c r="Z430" s="16" t="n"/>
      <c r="AA430" s="16" t="n"/>
    </row>
    <row r="431">
      <c r="A431" s="16" t="n"/>
      <c r="B431" s="16" t="n"/>
      <c r="C431" s="16" t="n"/>
      <c r="D431" s="16" t="n"/>
      <c r="E431" s="16" t="n"/>
      <c r="F431" s="16" t="n"/>
      <c r="G431" s="16" t="n"/>
      <c r="H431" s="16" t="n"/>
      <c r="I431" s="16" t="n"/>
      <c r="J431" s="16" t="n"/>
      <c r="K431" s="16" t="n"/>
      <c r="L431" s="16" t="n"/>
      <c r="M431" s="16" t="n"/>
      <c r="N431" s="16" t="n"/>
      <c r="O431" s="16" t="n"/>
      <c r="P431" s="16" t="n"/>
      <c r="Q431" s="16" t="n"/>
      <c r="R431" s="16" t="n"/>
      <c r="S431" s="16" t="n"/>
      <c r="T431" s="16" t="n"/>
      <c r="U431" s="16" t="n"/>
      <c r="V431" s="16" t="n"/>
      <c r="W431" s="16" t="n"/>
      <c r="X431" s="16" t="n"/>
      <c r="Y431" s="16" t="n"/>
      <c r="Z431" s="16" t="n"/>
      <c r="AA431" s="16" t="n"/>
    </row>
    <row r="432">
      <c r="A432" s="16" t="n"/>
      <c r="B432" s="16" t="n"/>
      <c r="C432" s="16" t="n"/>
      <c r="D432" s="16" t="n"/>
      <c r="E432" s="16" t="n"/>
      <c r="F432" s="16" t="n"/>
      <c r="G432" s="16" t="n"/>
      <c r="H432" s="16" t="n"/>
      <c r="I432" s="16" t="n"/>
      <c r="J432" s="16" t="n"/>
      <c r="K432" s="16" t="n"/>
      <c r="L432" s="16" t="n"/>
      <c r="M432" s="16" t="n"/>
      <c r="N432" s="16" t="n"/>
      <c r="O432" s="16" t="n"/>
      <c r="P432" s="16" t="n"/>
      <c r="Q432" s="16" t="n"/>
      <c r="R432" s="16" t="n"/>
      <c r="S432" s="16" t="n"/>
      <c r="T432" s="16" t="n"/>
      <c r="U432" s="16" t="n"/>
      <c r="V432" s="16" t="n"/>
      <c r="W432" s="16" t="n"/>
      <c r="X432" s="16" t="n"/>
      <c r="Y432" s="16" t="n"/>
      <c r="Z432" s="16" t="n"/>
      <c r="AA432" s="16" t="n"/>
    </row>
    <row r="433">
      <c r="A433" s="16" t="n"/>
      <c r="B433" s="16" t="n"/>
      <c r="C433" s="16" t="n"/>
      <c r="D433" s="16" t="n"/>
      <c r="E433" s="16" t="n"/>
      <c r="F433" s="16" t="n"/>
      <c r="G433" s="16" t="n"/>
      <c r="H433" s="16" t="n"/>
      <c r="I433" s="16" t="n"/>
      <c r="J433" s="16" t="n"/>
      <c r="K433" s="16" t="n"/>
      <c r="L433" s="16" t="n"/>
      <c r="M433" s="16" t="n"/>
      <c r="N433" s="16" t="n"/>
      <c r="O433" s="16" t="n"/>
      <c r="P433" s="16" t="n"/>
      <c r="Q433" s="16" t="n"/>
      <c r="R433" s="16" t="n"/>
      <c r="S433" s="16" t="n"/>
      <c r="T433" s="16" t="n"/>
      <c r="U433" s="16" t="n"/>
      <c r="V433" s="16" t="n"/>
      <c r="W433" s="16" t="n"/>
      <c r="X433" s="16" t="n"/>
      <c r="Y433" s="16" t="n"/>
      <c r="Z433" s="16" t="n"/>
      <c r="AA433" s="16" t="n"/>
    </row>
    <row r="434">
      <c r="A434" s="16" t="n"/>
      <c r="B434" s="16" t="n"/>
      <c r="C434" s="16" t="n"/>
      <c r="D434" s="16" t="n"/>
      <c r="E434" s="16" t="n"/>
      <c r="F434" s="16" t="n"/>
      <c r="G434" s="16" t="n"/>
      <c r="H434" s="16" t="n"/>
      <c r="I434" s="16" t="n"/>
      <c r="J434" s="16" t="n"/>
      <c r="K434" s="16" t="n"/>
      <c r="L434" s="16" t="n"/>
      <c r="M434" s="16" t="n"/>
      <c r="N434" s="16" t="n"/>
      <c r="O434" s="16" t="n"/>
      <c r="P434" s="16" t="n"/>
      <c r="Q434" s="16" t="n"/>
      <c r="R434" s="16" t="n"/>
      <c r="S434" s="16" t="n"/>
      <c r="T434" s="16" t="n"/>
      <c r="U434" s="16" t="n"/>
      <c r="V434" s="16" t="n"/>
      <c r="W434" s="16" t="n"/>
      <c r="X434" s="16" t="n"/>
      <c r="Y434" s="16" t="n"/>
      <c r="Z434" s="16" t="n"/>
      <c r="AA434" s="16" t="n"/>
    </row>
    <row r="435">
      <c r="A435" s="16" t="n"/>
      <c r="B435" s="16" t="n"/>
      <c r="C435" s="16" t="n"/>
      <c r="D435" s="16" t="n"/>
      <c r="E435" s="16" t="n"/>
      <c r="F435" s="16" t="n"/>
      <c r="G435" s="16" t="n"/>
      <c r="H435" s="16" t="n"/>
      <c r="I435" s="16" t="n"/>
      <c r="J435" s="16" t="n"/>
      <c r="K435" s="16" t="n"/>
      <c r="L435" s="16" t="n"/>
      <c r="M435" s="16" t="n"/>
      <c r="N435" s="16" t="n"/>
      <c r="O435" s="16" t="n"/>
      <c r="P435" s="16" t="n"/>
      <c r="Q435" s="16" t="n"/>
      <c r="R435" s="16" t="n"/>
      <c r="S435" s="16" t="n"/>
      <c r="T435" s="16" t="n"/>
      <c r="U435" s="16" t="n"/>
      <c r="V435" s="16" t="n"/>
      <c r="W435" s="16" t="n"/>
      <c r="X435" s="16" t="n"/>
      <c r="Y435" s="16" t="n"/>
      <c r="Z435" s="16" t="n"/>
      <c r="AA435" s="16" t="n"/>
    </row>
    <row r="436">
      <c r="A436" s="16" t="n"/>
      <c r="B436" s="16" t="n"/>
      <c r="C436" s="16" t="n"/>
      <c r="D436" s="16" t="n"/>
      <c r="E436" s="16" t="n"/>
      <c r="F436" s="16" t="n"/>
      <c r="G436" s="16" t="n"/>
      <c r="H436" s="16" t="n"/>
      <c r="I436" s="16" t="n"/>
      <c r="J436" s="16" t="n"/>
      <c r="K436" s="16" t="n"/>
      <c r="L436" s="16" t="n"/>
      <c r="M436" s="16" t="n"/>
      <c r="N436" s="16" t="n"/>
      <c r="O436" s="16" t="n"/>
      <c r="P436" s="16" t="n"/>
      <c r="Q436" s="16" t="n"/>
      <c r="R436" s="16" t="n"/>
      <c r="S436" s="16" t="n"/>
      <c r="T436" s="16" t="n"/>
      <c r="U436" s="16" t="n"/>
      <c r="V436" s="16" t="n"/>
      <c r="W436" s="16" t="n"/>
      <c r="X436" s="16" t="n"/>
      <c r="Y436" s="16" t="n"/>
      <c r="Z436" s="16" t="n"/>
      <c r="AA436" s="16" t="n"/>
    </row>
    <row r="437">
      <c r="A437" s="16" t="n"/>
      <c r="B437" s="16" t="n"/>
      <c r="C437" s="16" t="n"/>
      <c r="D437" s="16" t="n"/>
      <c r="E437" s="16" t="n"/>
      <c r="F437" s="16" t="n"/>
      <c r="G437" s="16" t="n"/>
      <c r="H437" s="16" t="n"/>
      <c r="I437" s="16" t="n"/>
      <c r="J437" s="16" t="n"/>
      <c r="K437" s="16" t="n"/>
      <c r="L437" s="16" t="n"/>
      <c r="M437" s="16" t="n"/>
      <c r="N437" s="16" t="n"/>
      <c r="O437" s="16" t="n"/>
      <c r="P437" s="16" t="n"/>
      <c r="Q437" s="16" t="n"/>
      <c r="R437" s="16" t="n"/>
      <c r="S437" s="16" t="n"/>
      <c r="T437" s="16" t="n"/>
      <c r="U437" s="16" t="n"/>
      <c r="V437" s="16" t="n"/>
      <c r="W437" s="16" t="n"/>
      <c r="X437" s="16" t="n"/>
      <c r="Y437" s="16" t="n"/>
      <c r="Z437" s="16" t="n"/>
      <c r="AA437" s="16" t="n"/>
    </row>
    <row r="438">
      <c r="A438" s="16" t="n"/>
      <c r="B438" s="16" t="n"/>
      <c r="C438" s="16" t="n"/>
      <c r="D438" s="16" t="n"/>
      <c r="E438" s="16" t="n"/>
      <c r="F438" s="16" t="n"/>
      <c r="G438" s="16" t="n"/>
      <c r="H438" s="16" t="n"/>
      <c r="I438" s="16" t="n"/>
      <c r="J438" s="16" t="n"/>
      <c r="K438" s="16" t="n"/>
      <c r="L438" s="16" t="n"/>
      <c r="M438" s="16" t="n"/>
      <c r="N438" s="16" t="n"/>
      <c r="O438" s="16" t="n"/>
      <c r="P438" s="16" t="n"/>
      <c r="Q438" s="16" t="n"/>
      <c r="R438" s="16" t="n"/>
      <c r="S438" s="16" t="n"/>
      <c r="T438" s="16" t="n"/>
      <c r="U438" s="16" t="n"/>
      <c r="V438" s="16" t="n"/>
      <c r="W438" s="16" t="n"/>
      <c r="X438" s="16" t="n"/>
      <c r="Y438" s="16" t="n"/>
      <c r="Z438" s="16" t="n"/>
      <c r="AA438" s="16" t="n"/>
    </row>
    <row r="439">
      <c r="A439" s="16" t="n"/>
      <c r="B439" s="16" t="n"/>
      <c r="C439" s="16" t="n"/>
      <c r="D439" s="16" t="n"/>
      <c r="E439" s="16" t="n"/>
      <c r="F439" s="16" t="n"/>
      <c r="G439" s="16" t="n"/>
      <c r="H439" s="16" t="n"/>
      <c r="I439" s="16" t="n"/>
      <c r="J439" s="16" t="n"/>
      <c r="K439" s="16" t="n"/>
      <c r="L439" s="16" t="n"/>
      <c r="M439" s="16" t="n"/>
      <c r="N439" s="16" t="n"/>
      <c r="O439" s="16" t="n"/>
      <c r="P439" s="16" t="n"/>
      <c r="Q439" s="16" t="n"/>
      <c r="R439" s="16" t="n"/>
      <c r="S439" s="16" t="n"/>
      <c r="T439" s="16" t="n"/>
      <c r="U439" s="16" t="n"/>
      <c r="V439" s="16" t="n"/>
      <c r="W439" s="16" t="n"/>
      <c r="X439" s="16" t="n"/>
      <c r="Y439" s="16" t="n"/>
      <c r="Z439" s="16" t="n"/>
      <c r="AA439" s="16" t="n"/>
    </row>
    <row r="440">
      <c r="A440" s="16" t="n"/>
      <c r="B440" s="16" t="n"/>
      <c r="C440" s="16" t="n"/>
      <c r="D440" s="16" t="n"/>
      <c r="E440" s="16" t="n"/>
      <c r="F440" s="16" t="n"/>
      <c r="G440" s="16" t="n"/>
      <c r="H440" s="16" t="n"/>
      <c r="I440" s="16" t="n"/>
      <c r="J440" s="16" t="n"/>
      <c r="K440" s="16" t="n"/>
      <c r="L440" s="16" t="n"/>
      <c r="M440" s="16" t="n"/>
      <c r="N440" s="16" t="n"/>
      <c r="O440" s="16" t="n"/>
      <c r="P440" s="16" t="n"/>
      <c r="Q440" s="16" t="n"/>
      <c r="R440" s="16" t="n"/>
      <c r="S440" s="16" t="n"/>
      <c r="T440" s="16" t="n"/>
      <c r="U440" s="16" t="n"/>
      <c r="V440" s="16" t="n"/>
      <c r="W440" s="16" t="n"/>
      <c r="X440" s="16" t="n"/>
      <c r="Y440" s="16" t="n"/>
      <c r="Z440" s="16" t="n"/>
      <c r="AA440" s="16" t="n"/>
    </row>
    <row r="441">
      <c r="A441" s="16" t="n"/>
      <c r="B441" s="16" t="n"/>
      <c r="C441" s="16" t="n"/>
      <c r="D441" s="16" t="n"/>
      <c r="E441" s="16" t="n"/>
      <c r="F441" s="16" t="n"/>
      <c r="G441" s="16" t="n"/>
      <c r="H441" s="16" t="n"/>
      <c r="I441" s="16" t="n"/>
      <c r="J441" s="16" t="n"/>
      <c r="K441" s="16" t="n"/>
      <c r="L441" s="16" t="n"/>
      <c r="M441" s="16" t="n"/>
      <c r="N441" s="16" t="n"/>
      <c r="O441" s="16" t="n"/>
      <c r="P441" s="16" t="n"/>
      <c r="Q441" s="16" t="n"/>
      <c r="R441" s="16" t="n"/>
      <c r="S441" s="16" t="n"/>
      <c r="T441" s="16" t="n"/>
      <c r="U441" s="16" t="n"/>
      <c r="V441" s="16" t="n"/>
      <c r="W441" s="16" t="n"/>
      <c r="X441" s="16" t="n"/>
      <c r="Y441" s="16" t="n"/>
      <c r="Z441" s="16" t="n"/>
      <c r="AA441" s="16" t="n"/>
    </row>
    <row r="442">
      <c r="A442" s="16" t="n"/>
      <c r="B442" s="16" t="n"/>
      <c r="C442" s="16" t="n"/>
      <c r="D442" s="16" t="n"/>
      <c r="E442" s="16" t="n"/>
      <c r="F442" s="16" t="n"/>
      <c r="G442" s="16" t="n"/>
      <c r="H442" s="16" t="n"/>
      <c r="I442" s="16" t="n"/>
      <c r="J442" s="16" t="n"/>
      <c r="K442" s="16" t="n"/>
      <c r="L442" s="16" t="n"/>
      <c r="M442" s="16" t="n"/>
      <c r="N442" s="16" t="n"/>
      <c r="O442" s="16" t="n"/>
      <c r="P442" s="16" t="n"/>
      <c r="Q442" s="16" t="n"/>
      <c r="R442" s="16" t="n"/>
      <c r="S442" s="16" t="n"/>
      <c r="T442" s="16" t="n"/>
      <c r="U442" s="16" t="n"/>
      <c r="V442" s="16" t="n"/>
      <c r="W442" s="16" t="n"/>
      <c r="X442" s="16" t="n"/>
      <c r="Y442" s="16" t="n"/>
      <c r="Z442" s="16" t="n"/>
      <c r="AA442" s="16" t="n"/>
    </row>
    <row r="443">
      <c r="A443" s="16" t="n"/>
      <c r="B443" s="16" t="n"/>
      <c r="C443" s="16" t="n"/>
      <c r="D443" s="16" t="n"/>
      <c r="E443" s="16" t="n"/>
      <c r="F443" s="16" t="n"/>
      <c r="G443" s="16" t="n"/>
      <c r="H443" s="16" t="n"/>
      <c r="I443" s="16" t="n"/>
      <c r="J443" s="16" t="n"/>
      <c r="K443" s="16" t="n"/>
      <c r="L443" s="16" t="n"/>
      <c r="M443" s="16" t="n"/>
      <c r="N443" s="16" t="n"/>
      <c r="O443" s="16" t="n"/>
      <c r="P443" s="16" t="n"/>
      <c r="Q443" s="16" t="n"/>
      <c r="R443" s="16" t="n"/>
      <c r="S443" s="16" t="n"/>
      <c r="T443" s="16" t="n"/>
      <c r="U443" s="16" t="n"/>
      <c r="V443" s="16" t="n"/>
      <c r="W443" s="16" t="n"/>
      <c r="X443" s="16" t="n"/>
      <c r="Y443" s="16" t="n"/>
      <c r="Z443" s="16" t="n"/>
      <c r="AA443" s="16" t="n"/>
    </row>
    <row r="444">
      <c r="A444" s="16" t="n"/>
      <c r="B444" s="16" t="n"/>
      <c r="C444" s="16" t="n"/>
      <c r="D444" s="16" t="n"/>
      <c r="E444" s="16" t="n"/>
      <c r="F444" s="16" t="n"/>
      <c r="G444" s="16" t="n"/>
      <c r="H444" s="16" t="n"/>
      <c r="I444" s="16" t="n"/>
      <c r="J444" s="16" t="n"/>
      <c r="K444" s="16" t="n"/>
      <c r="L444" s="16" t="n"/>
      <c r="M444" s="16" t="n"/>
      <c r="N444" s="16" t="n"/>
      <c r="O444" s="16" t="n"/>
      <c r="P444" s="16" t="n"/>
      <c r="Q444" s="16" t="n"/>
      <c r="R444" s="16" t="n"/>
      <c r="S444" s="16" t="n"/>
      <c r="T444" s="16" t="n"/>
      <c r="U444" s="16" t="n"/>
      <c r="V444" s="16" t="n"/>
      <c r="W444" s="16" t="n"/>
      <c r="X444" s="16" t="n"/>
      <c r="Y444" s="16" t="n"/>
      <c r="Z444" s="16" t="n"/>
      <c r="AA444" s="16" t="n"/>
    </row>
    <row r="445">
      <c r="A445" s="16" t="n"/>
      <c r="B445" s="16" t="n"/>
      <c r="C445" s="16" t="n"/>
      <c r="D445" s="16" t="n"/>
      <c r="E445" s="16" t="n"/>
      <c r="F445" s="16" t="n"/>
      <c r="G445" s="16" t="n"/>
      <c r="H445" s="16" t="n"/>
      <c r="I445" s="16" t="n"/>
      <c r="J445" s="16" t="n"/>
      <c r="K445" s="16" t="n"/>
      <c r="L445" s="16" t="n"/>
      <c r="M445" s="16" t="n"/>
      <c r="N445" s="16" t="n"/>
      <c r="O445" s="16" t="n"/>
      <c r="P445" s="16" t="n"/>
      <c r="Q445" s="16" t="n"/>
      <c r="R445" s="16" t="n"/>
      <c r="S445" s="16" t="n"/>
      <c r="T445" s="16" t="n"/>
      <c r="U445" s="16" t="n"/>
      <c r="V445" s="16" t="n"/>
      <c r="W445" s="16" t="n"/>
      <c r="X445" s="16" t="n"/>
      <c r="Y445" s="16" t="n"/>
      <c r="Z445" s="16" t="n"/>
      <c r="AA445" s="16" t="n"/>
    </row>
    <row r="446">
      <c r="A446" s="16" t="n"/>
      <c r="B446" s="16" t="n"/>
      <c r="C446" s="16" t="n"/>
      <c r="D446" s="16" t="n"/>
      <c r="E446" s="16" t="n"/>
      <c r="F446" s="16" t="n"/>
      <c r="G446" s="16" t="n"/>
      <c r="H446" s="16" t="n"/>
      <c r="I446" s="16" t="n"/>
      <c r="J446" s="16" t="n"/>
      <c r="K446" s="16" t="n"/>
      <c r="L446" s="16" t="n"/>
      <c r="M446" s="16" t="n"/>
      <c r="N446" s="16" t="n"/>
      <c r="O446" s="16" t="n"/>
      <c r="P446" s="16" t="n"/>
      <c r="Q446" s="16" t="n"/>
      <c r="R446" s="16" t="n"/>
      <c r="S446" s="16" t="n"/>
      <c r="T446" s="16" t="n"/>
      <c r="U446" s="16" t="n"/>
      <c r="V446" s="16" t="n"/>
      <c r="W446" s="16" t="n"/>
      <c r="X446" s="16" t="n"/>
      <c r="Y446" s="16" t="n"/>
      <c r="Z446" s="16" t="n"/>
      <c r="AA446" s="16" t="n"/>
    </row>
    <row r="447">
      <c r="A447" s="16" t="n"/>
      <c r="B447" s="16" t="n"/>
      <c r="C447" s="16" t="n"/>
      <c r="D447" s="16" t="n"/>
      <c r="E447" s="16" t="n"/>
      <c r="F447" s="16" t="n"/>
      <c r="G447" s="16" t="n"/>
      <c r="H447" s="16" t="n"/>
      <c r="I447" s="16" t="n"/>
      <c r="J447" s="16" t="n"/>
      <c r="K447" s="16" t="n"/>
      <c r="L447" s="16" t="n"/>
      <c r="M447" s="16" t="n"/>
      <c r="N447" s="16" t="n"/>
      <c r="O447" s="16" t="n"/>
      <c r="P447" s="16" t="n"/>
      <c r="Q447" s="16" t="n"/>
      <c r="R447" s="16" t="n"/>
      <c r="S447" s="16" t="n"/>
      <c r="T447" s="16" t="n"/>
      <c r="U447" s="16" t="n"/>
      <c r="V447" s="16" t="n"/>
      <c r="W447" s="16" t="n"/>
      <c r="X447" s="16" t="n"/>
      <c r="Y447" s="16" t="n"/>
      <c r="Z447" s="16" t="n"/>
      <c r="AA447" s="16" t="n"/>
    </row>
    <row r="448">
      <c r="A448" s="16" t="n"/>
      <c r="B448" s="16" t="n"/>
      <c r="C448" s="16" t="n"/>
      <c r="D448" s="16" t="n"/>
      <c r="E448" s="16" t="n"/>
      <c r="F448" s="16" t="n"/>
      <c r="G448" s="16" t="n"/>
      <c r="H448" s="16" t="n"/>
      <c r="I448" s="16" t="n"/>
      <c r="J448" s="16" t="n"/>
      <c r="K448" s="16" t="n"/>
      <c r="L448" s="16" t="n"/>
      <c r="M448" s="16" t="n"/>
      <c r="N448" s="16" t="n"/>
      <c r="O448" s="16" t="n"/>
      <c r="P448" s="16" t="n"/>
      <c r="Q448" s="16" t="n"/>
      <c r="R448" s="16" t="n"/>
      <c r="S448" s="16" t="n"/>
      <c r="T448" s="16" t="n"/>
      <c r="U448" s="16" t="n"/>
      <c r="V448" s="16" t="n"/>
      <c r="W448" s="16" t="n"/>
      <c r="X448" s="16" t="n"/>
      <c r="Y448" s="16" t="n"/>
      <c r="Z448" s="16" t="n"/>
      <c r="AA448" s="16" t="n"/>
    </row>
    <row r="449">
      <c r="A449" s="16" t="n"/>
      <c r="B449" s="16" t="n"/>
      <c r="C449" s="16" t="n"/>
      <c r="D449" s="16" t="n"/>
      <c r="E449" s="16" t="n"/>
      <c r="F449" s="16" t="n"/>
      <c r="G449" s="16" t="n"/>
      <c r="H449" s="16" t="n"/>
      <c r="I449" s="16" t="n"/>
      <c r="J449" s="16" t="n"/>
      <c r="K449" s="16" t="n"/>
      <c r="L449" s="16" t="n"/>
      <c r="M449" s="16" t="n"/>
      <c r="N449" s="16" t="n"/>
      <c r="O449" s="16" t="n"/>
      <c r="P449" s="16" t="n"/>
      <c r="Q449" s="16" t="n"/>
      <c r="R449" s="16" t="n"/>
      <c r="S449" s="16" t="n"/>
      <c r="T449" s="16" t="n"/>
      <c r="U449" s="16" t="n"/>
      <c r="V449" s="16" t="n"/>
      <c r="W449" s="16" t="n"/>
      <c r="X449" s="16" t="n"/>
      <c r="Y449" s="16" t="n"/>
      <c r="Z449" s="16" t="n"/>
      <c r="AA449" s="16" t="n"/>
    </row>
    <row r="450">
      <c r="A450" s="16" t="n"/>
      <c r="B450" s="16" t="n"/>
      <c r="C450" s="16" t="n"/>
      <c r="D450" s="16" t="n"/>
      <c r="E450" s="16" t="n"/>
      <c r="F450" s="16" t="n"/>
      <c r="G450" s="16" t="n"/>
      <c r="H450" s="16" t="n"/>
      <c r="I450" s="16" t="n"/>
      <c r="J450" s="16" t="n"/>
      <c r="K450" s="16" t="n"/>
      <c r="L450" s="16" t="n"/>
      <c r="M450" s="16" t="n"/>
      <c r="N450" s="16" t="n"/>
      <c r="O450" s="16" t="n"/>
      <c r="P450" s="16" t="n"/>
      <c r="Q450" s="16" t="n"/>
      <c r="R450" s="16" t="n"/>
      <c r="S450" s="16" t="n"/>
      <c r="T450" s="16" t="n"/>
      <c r="U450" s="16" t="n"/>
      <c r="V450" s="16" t="n"/>
      <c r="W450" s="16" t="n"/>
      <c r="X450" s="16" t="n"/>
      <c r="Y450" s="16" t="n"/>
      <c r="Z450" s="16" t="n"/>
      <c r="AA450" s="16" t="n"/>
    </row>
    <row r="451">
      <c r="A451" s="16" t="n"/>
      <c r="B451" s="16" t="n"/>
      <c r="C451" s="16" t="n"/>
      <c r="D451" s="16" t="n"/>
      <c r="E451" s="16" t="n"/>
      <c r="F451" s="16" t="n"/>
      <c r="G451" s="16" t="n"/>
      <c r="H451" s="16" t="n"/>
      <c r="I451" s="16" t="n"/>
      <c r="J451" s="16" t="n"/>
      <c r="K451" s="16" t="n"/>
      <c r="L451" s="16" t="n"/>
      <c r="M451" s="16" t="n"/>
      <c r="N451" s="16" t="n"/>
      <c r="O451" s="16" t="n"/>
      <c r="P451" s="16" t="n"/>
      <c r="Q451" s="16" t="n"/>
      <c r="R451" s="16" t="n"/>
      <c r="S451" s="16" t="n"/>
      <c r="T451" s="16" t="n"/>
      <c r="U451" s="16" t="n"/>
      <c r="V451" s="16" t="n"/>
      <c r="W451" s="16" t="n"/>
      <c r="X451" s="16" t="n"/>
      <c r="Y451" s="16" t="n"/>
      <c r="Z451" s="16" t="n"/>
      <c r="AA451" s="16" t="n"/>
    </row>
    <row r="452">
      <c r="A452" s="16" t="n"/>
      <c r="B452" s="16" t="n"/>
      <c r="C452" s="16" t="n"/>
      <c r="D452" s="16" t="n"/>
      <c r="E452" s="16" t="n"/>
      <c r="F452" s="16" t="n"/>
      <c r="G452" s="16" t="n"/>
      <c r="H452" s="16" t="n"/>
      <c r="I452" s="16" t="n"/>
      <c r="J452" s="16" t="n"/>
      <c r="K452" s="16" t="n"/>
      <c r="L452" s="16" t="n"/>
      <c r="M452" s="16" t="n"/>
      <c r="N452" s="16" t="n"/>
      <c r="O452" s="16" t="n"/>
      <c r="P452" s="16" t="n"/>
      <c r="Q452" s="16" t="n"/>
      <c r="R452" s="16" t="n"/>
      <c r="S452" s="16" t="n"/>
      <c r="T452" s="16" t="n"/>
      <c r="U452" s="16" t="n"/>
      <c r="V452" s="16" t="n"/>
      <c r="W452" s="16" t="n"/>
      <c r="X452" s="16" t="n"/>
      <c r="Y452" s="16" t="n"/>
      <c r="Z452" s="16" t="n"/>
      <c r="AA452" s="16" t="n"/>
    </row>
    <row r="453">
      <c r="A453" s="16" t="n"/>
      <c r="B453" s="16" t="n"/>
      <c r="C453" s="16" t="n"/>
      <c r="D453" s="16" t="n"/>
      <c r="E453" s="16" t="n"/>
      <c r="F453" s="16" t="n"/>
      <c r="G453" s="16" t="n"/>
      <c r="H453" s="16" t="n"/>
      <c r="I453" s="16" t="n"/>
      <c r="J453" s="16" t="n"/>
      <c r="K453" s="16" t="n"/>
      <c r="L453" s="16" t="n"/>
      <c r="M453" s="16" t="n"/>
      <c r="N453" s="16" t="n"/>
      <c r="O453" s="16" t="n"/>
      <c r="P453" s="16" t="n"/>
      <c r="Q453" s="16" t="n"/>
      <c r="R453" s="16" t="n"/>
      <c r="S453" s="16" t="n"/>
      <c r="T453" s="16" t="n"/>
      <c r="U453" s="16" t="n"/>
      <c r="V453" s="16" t="n"/>
      <c r="W453" s="16" t="n"/>
      <c r="X453" s="16" t="n"/>
      <c r="Y453" s="16" t="n"/>
      <c r="Z453" s="16" t="n"/>
      <c r="AA453" s="16" t="n"/>
    </row>
    <row r="454">
      <c r="A454" s="16" t="n"/>
      <c r="B454" s="16" t="n"/>
      <c r="C454" s="16" t="n"/>
      <c r="D454" s="16" t="n"/>
      <c r="E454" s="16" t="n"/>
      <c r="F454" s="16" t="n"/>
      <c r="G454" s="16" t="n"/>
      <c r="H454" s="16" t="n"/>
      <c r="I454" s="16" t="n"/>
      <c r="J454" s="16" t="n"/>
      <c r="K454" s="16" t="n"/>
      <c r="L454" s="16" t="n"/>
      <c r="M454" s="16" t="n"/>
      <c r="N454" s="16" t="n"/>
      <c r="O454" s="16" t="n"/>
      <c r="P454" s="16" t="n"/>
      <c r="Q454" s="16" t="n"/>
      <c r="R454" s="16" t="n"/>
      <c r="S454" s="16" t="n"/>
      <c r="T454" s="16" t="n"/>
      <c r="U454" s="16" t="n"/>
      <c r="V454" s="16" t="n"/>
      <c r="W454" s="16" t="n"/>
      <c r="X454" s="16" t="n"/>
      <c r="Y454" s="16" t="n"/>
      <c r="Z454" s="16" t="n"/>
      <c r="AA454" s="16" t="n"/>
    </row>
    <row r="455">
      <c r="A455" s="16" t="n"/>
      <c r="B455" s="16" t="n"/>
      <c r="C455" s="16" t="n"/>
      <c r="D455" s="16" t="n"/>
      <c r="E455" s="16" t="n"/>
      <c r="F455" s="16" t="n"/>
      <c r="G455" s="16" t="n"/>
      <c r="H455" s="16" t="n"/>
      <c r="I455" s="16" t="n"/>
      <c r="J455" s="16" t="n"/>
      <c r="K455" s="16" t="n"/>
      <c r="L455" s="16" t="n"/>
      <c r="M455" s="16" t="n"/>
      <c r="N455" s="16" t="n"/>
      <c r="O455" s="16" t="n"/>
      <c r="P455" s="16" t="n"/>
      <c r="Q455" s="16" t="n"/>
      <c r="R455" s="16" t="n"/>
      <c r="S455" s="16" t="n"/>
      <c r="T455" s="16" t="n"/>
      <c r="U455" s="16" t="n"/>
      <c r="V455" s="16" t="n"/>
      <c r="W455" s="16" t="n"/>
      <c r="X455" s="16" t="n"/>
      <c r="Y455" s="16" t="n"/>
      <c r="Z455" s="16" t="n"/>
      <c r="AA455" s="16" t="n"/>
    </row>
    <row r="456">
      <c r="A456" s="16" t="n"/>
      <c r="B456" s="16" t="n"/>
      <c r="C456" s="16" t="n"/>
      <c r="D456" s="16" t="n"/>
      <c r="E456" s="16" t="n"/>
      <c r="F456" s="16" t="n"/>
      <c r="G456" s="16" t="n"/>
      <c r="H456" s="16" t="n"/>
      <c r="I456" s="16" t="n"/>
      <c r="J456" s="16" t="n"/>
      <c r="K456" s="16" t="n"/>
      <c r="L456" s="16" t="n"/>
      <c r="M456" s="16" t="n"/>
      <c r="N456" s="16" t="n"/>
      <c r="O456" s="16" t="n"/>
      <c r="P456" s="16" t="n"/>
      <c r="Q456" s="16" t="n"/>
      <c r="R456" s="16" t="n"/>
      <c r="S456" s="16" t="n"/>
      <c r="T456" s="16" t="n"/>
      <c r="U456" s="16" t="n"/>
      <c r="V456" s="16" t="n"/>
      <c r="W456" s="16" t="n"/>
      <c r="X456" s="16" t="n"/>
      <c r="Y456" s="16" t="n"/>
      <c r="Z456" s="16" t="n"/>
      <c r="AA456" s="16" t="n"/>
    </row>
    <row r="457">
      <c r="A457" s="16" t="n"/>
      <c r="B457" s="16" t="n"/>
      <c r="C457" s="16" t="n"/>
      <c r="D457" s="16" t="n"/>
      <c r="E457" s="16" t="n"/>
      <c r="F457" s="16" t="n"/>
      <c r="G457" s="16" t="n"/>
      <c r="H457" s="16" t="n"/>
      <c r="I457" s="16" t="n"/>
      <c r="J457" s="16" t="n"/>
      <c r="K457" s="16" t="n"/>
      <c r="L457" s="16" t="n"/>
      <c r="M457" s="16" t="n"/>
      <c r="N457" s="16" t="n"/>
      <c r="O457" s="16" t="n"/>
      <c r="P457" s="16" t="n"/>
      <c r="Q457" s="16" t="n"/>
      <c r="R457" s="16" t="n"/>
      <c r="S457" s="16" t="n"/>
      <c r="T457" s="16" t="n"/>
      <c r="U457" s="16" t="n"/>
      <c r="V457" s="16" t="n"/>
      <c r="W457" s="16" t="n"/>
      <c r="X457" s="16" t="n"/>
      <c r="Y457" s="16" t="n"/>
      <c r="Z457" s="16" t="n"/>
      <c r="AA457" s="16" t="n"/>
    </row>
    <row r="458">
      <c r="A458" s="16" t="n"/>
      <c r="B458" s="16" t="n"/>
      <c r="C458" s="16" t="n"/>
      <c r="D458" s="16" t="n"/>
      <c r="E458" s="16" t="n"/>
      <c r="F458" s="16" t="n"/>
      <c r="G458" s="16" t="n"/>
      <c r="H458" s="16" t="n"/>
      <c r="I458" s="16" t="n"/>
      <c r="J458" s="16" t="n"/>
      <c r="K458" s="16" t="n"/>
      <c r="L458" s="16" t="n"/>
      <c r="M458" s="16" t="n"/>
      <c r="N458" s="16" t="n"/>
      <c r="O458" s="16" t="n"/>
      <c r="P458" s="16" t="n"/>
      <c r="Q458" s="16" t="n"/>
      <c r="R458" s="16" t="n"/>
      <c r="S458" s="16" t="n"/>
      <c r="T458" s="16" t="n"/>
      <c r="U458" s="16" t="n"/>
      <c r="V458" s="16" t="n"/>
      <c r="W458" s="16" t="n"/>
      <c r="X458" s="16" t="n"/>
      <c r="Y458" s="16" t="n"/>
      <c r="Z458" s="16" t="n"/>
      <c r="AA458" s="16" t="n"/>
    </row>
    <row r="459">
      <c r="A459" s="16" t="n"/>
      <c r="B459" s="16" t="n"/>
      <c r="C459" s="16" t="n"/>
      <c r="D459" s="16" t="n"/>
      <c r="E459" s="16" t="n"/>
      <c r="F459" s="16" t="n"/>
      <c r="G459" s="16" t="n"/>
      <c r="H459" s="16" t="n"/>
      <c r="I459" s="16" t="n"/>
      <c r="J459" s="16" t="n"/>
      <c r="K459" s="16" t="n"/>
      <c r="L459" s="16" t="n"/>
      <c r="M459" s="16" t="n"/>
      <c r="N459" s="16" t="n"/>
      <c r="O459" s="16" t="n"/>
      <c r="P459" s="16" t="n"/>
      <c r="Q459" s="16" t="n"/>
      <c r="R459" s="16" t="n"/>
      <c r="S459" s="16" t="n"/>
      <c r="T459" s="16" t="n"/>
      <c r="U459" s="16" t="n"/>
      <c r="V459" s="16" t="n"/>
      <c r="W459" s="16" t="n"/>
      <c r="X459" s="16" t="n"/>
      <c r="Y459" s="16" t="n"/>
      <c r="Z459" s="16" t="n"/>
      <c r="AA459" s="16" t="n"/>
    </row>
    <row r="460">
      <c r="A460" s="16" t="n"/>
      <c r="B460" s="16" t="n"/>
      <c r="C460" s="16" t="n"/>
      <c r="D460" s="16" t="n"/>
      <c r="E460" s="16" t="n"/>
      <c r="F460" s="16" t="n"/>
      <c r="G460" s="16" t="n"/>
      <c r="H460" s="16" t="n"/>
      <c r="I460" s="16" t="n"/>
      <c r="J460" s="16" t="n"/>
      <c r="K460" s="16" t="n"/>
      <c r="L460" s="16" t="n"/>
      <c r="M460" s="16" t="n"/>
      <c r="N460" s="16" t="n"/>
      <c r="O460" s="16" t="n"/>
      <c r="P460" s="16" t="n"/>
      <c r="Q460" s="16" t="n"/>
      <c r="R460" s="16" t="n"/>
      <c r="S460" s="16" t="n"/>
      <c r="T460" s="16" t="n"/>
      <c r="U460" s="16" t="n"/>
      <c r="V460" s="16" t="n"/>
      <c r="W460" s="16" t="n"/>
      <c r="X460" s="16" t="n"/>
      <c r="Y460" s="16" t="n"/>
      <c r="Z460" s="16" t="n"/>
      <c r="AA460" s="16" t="n"/>
    </row>
    <row r="461">
      <c r="A461" s="16" t="n"/>
      <c r="B461" s="16" t="n"/>
      <c r="C461" s="16" t="n"/>
      <c r="D461" s="16" t="n"/>
      <c r="E461" s="16" t="n"/>
      <c r="F461" s="16" t="n"/>
      <c r="G461" s="16" t="n"/>
      <c r="H461" s="16" t="n"/>
      <c r="I461" s="16" t="n"/>
      <c r="J461" s="16" t="n"/>
      <c r="K461" s="16" t="n"/>
      <c r="L461" s="16" t="n"/>
      <c r="M461" s="16" t="n"/>
      <c r="N461" s="16" t="n"/>
      <c r="O461" s="16" t="n"/>
      <c r="P461" s="16" t="n"/>
      <c r="Q461" s="16" t="n"/>
      <c r="R461" s="16" t="n"/>
      <c r="S461" s="16" t="n"/>
      <c r="T461" s="16" t="n"/>
      <c r="U461" s="16" t="n"/>
      <c r="V461" s="16" t="n"/>
      <c r="W461" s="16" t="n"/>
      <c r="X461" s="16" t="n"/>
      <c r="Y461" s="16" t="n"/>
      <c r="Z461" s="16" t="n"/>
      <c r="AA461" s="16" t="n"/>
    </row>
    <row r="462">
      <c r="A462" s="16" t="n"/>
      <c r="B462" s="16" t="n"/>
      <c r="C462" s="16" t="n"/>
      <c r="D462" s="16" t="n"/>
      <c r="E462" s="16" t="n"/>
      <c r="F462" s="16" t="n"/>
      <c r="G462" s="16" t="n"/>
      <c r="H462" s="16" t="n"/>
      <c r="I462" s="16" t="n"/>
      <c r="J462" s="16" t="n"/>
      <c r="K462" s="16" t="n"/>
      <c r="L462" s="16" t="n"/>
      <c r="M462" s="16" t="n"/>
      <c r="N462" s="16" t="n"/>
      <c r="O462" s="16" t="n"/>
      <c r="P462" s="16" t="n"/>
      <c r="Q462" s="16" t="n"/>
      <c r="R462" s="16" t="n"/>
      <c r="S462" s="16" t="n"/>
      <c r="T462" s="16" t="n"/>
      <c r="U462" s="16" t="n"/>
      <c r="V462" s="16" t="n"/>
      <c r="W462" s="16" t="n"/>
      <c r="X462" s="16" t="n"/>
      <c r="Y462" s="16" t="n"/>
      <c r="Z462" s="16" t="n"/>
      <c r="AA462" s="16" t="n"/>
    </row>
    <row r="463">
      <c r="A463" s="16" t="n"/>
      <c r="B463" s="16" t="n"/>
      <c r="C463" s="16" t="n"/>
      <c r="D463" s="16" t="n"/>
      <c r="E463" s="16" t="n"/>
      <c r="F463" s="16" t="n"/>
      <c r="G463" s="16" t="n"/>
      <c r="H463" s="16" t="n"/>
      <c r="I463" s="16" t="n"/>
      <c r="J463" s="16" t="n"/>
      <c r="K463" s="16" t="n"/>
      <c r="L463" s="16" t="n"/>
      <c r="M463" s="16" t="n"/>
      <c r="N463" s="16" t="n"/>
      <c r="O463" s="16" t="n"/>
      <c r="P463" s="16" t="n"/>
      <c r="Q463" s="16" t="n"/>
      <c r="R463" s="16" t="n"/>
      <c r="S463" s="16" t="n"/>
      <c r="T463" s="16" t="n"/>
      <c r="U463" s="16" t="n"/>
      <c r="V463" s="16" t="n"/>
      <c r="W463" s="16" t="n"/>
      <c r="X463" s="16" t="n"/>
      <c r="Y463" s="16" t="n"/>
      <c r="Z463" s="16" t="n"/>
      <c r="AA463" s="16" t="n"/>
    </row>
    <row r="464">
      <c r="A464" s="16" t="n"/>
      <c r="B464" s="16" t="n"/>
      <c r="C464" s="16" t="n"/>
      <c r="D464" s="16" t="n"/>
      <c r="E464" s="16" t="n"/>
      <c r="F464" s="16" t="n"/>
      <c r="G464" s="16" t="n"/>
      <c r="H464" s="16" t="n"/>
      <c r="I464" s="16" t="n"/>
      <c r="J464" s="16" t="n"/>
      <c r="K464" s="16" t="n"/>
      <c r="L464" s="16" t="n"/>
      <c r="M464" s="16" t="n"/>
      <c r="N464" s="16" t="n"/>
      <c r="O464" s="16" t="n"/>
      <c r="P464" s="16" t="n"/>
      <c r="Q464" s="16" t="n"/>
      <c r="R464" s="16" t="n"/>
      <c r="S464" s="16" t="n"/>
      <c r="T464" s="16" t="n"/>
      <c r="U464" s="16" t="n"/>
      <c r="V464" s="16" t="n"/>
      <c r="W464" s="16" t="n"/>
      <c r="X464" s="16" t="n"/>
      <c r="Y464" s="16" t="n"/>
      <c r="Z464" s="16" t="n"/>
      <c r="AA464" s="16" t="n"/>
    </row>
    <row r="465">
      <c r="A465" s="16" t="n"/>
      <c r="B465" s="16" t="n"/>
      <c r="C465" s="16" t="n"/>
      <c r="D465" s="16" t="n"/>
      <c r="E465" s="16" t="n"/>
      <c r="F465" s="16" t="n"/>
      <c r="G465" s="16" t="n"/>
      <c r="H465" s="16" t="n"/>
      <c r="I465" s="16" t="n"/>
      <c r="J465" s="16" t="n"/>
      <c r="K465" s="16" t="n"/>
      <c r="L465" s="16" t="n"/>
      <c r="M465" s="16" t="n"/>
      <c r="N465" s="16" t="n"/>
      <c r="O465" s="16" t="n"/>
      <c r="P465" s="16" t="n"/>
      <c r="Q465" s="16" t="n"/>
      <c r="R465" s="16" t="n"/>
      <c r="S465" s="16" t="n"/>
      <c r="T465" s="16" t="n"/>
      <c r="U465" s="16" t="n"/>
      <c r="V465" s="16" t="n"/>
      <c r="W465" s="16" t="n"/>
      <c r="X465" s="16" t="n"/>
      <c r="Y465" s="16" t="n"/>
      <c r="Z465" s="16" t="n"/>
      <c r="AA465" s="16" t="n"/>
    </row>
    <row r="466">
      <c r="A466" s="16" t="n"/>
      <c r="B466" s="16" t="n"/>
      <c r="C466" s="16" t="n"/>
      <c r="D466" s="16" t="n"/>
      <c r="E466" s="16" t="n"/>
      <c r="F466" s="16" t="n"/>
      <c r="G466" s="16" t="n"/>
      <c r="H466" s="16" t="n"/>
      <c r="I466" s="16" t="n"/>
      <c r="J466" s="16" t="n"/>
      <c r="K466" s="16" t="n"/>
      <c r="L466" s="16" t="n"/>
      <c r="M466" s="16" t="n"/>
      <c r="N466" s="16" t="n"/>
      <c r="O466" s="16" t="n"/>
      <c r="P466" s="16" t="n"/>
      <c r="Q466" s="16" t="n"/>
      <c r="R466" s="16" t="n"/>
      <c r="S466" s="16" t="n"/>
      <c r="T466" s="16" t="n"/>
      <c r="U466" s="16" t="n"/>
      <c r="V466" s="16" t="n"/>
      <c r="W466" s="16" t="n"/>
      <c r="X466" s="16" t="n"/>
      <c r="Y466" s="16" t="n"/>
      <c r="Z466" s="16" t="n"/>
      <c r="AA466" s="16" t="n"/>
    </row>
    <row r="467">
      <c r="A467" s="16" t="n"/>
      <c r="B467" s="16" t="n"/>
      <c r="C467" s="16" t="n"/>
      <c r="D467" s="16" t="n"/>
      <c r="E467" s="16" t="n"/>
      <c r="F467" s="16" t="n"/>
      <c r="G467" s="16" t="n"/>
      <c r="H467" s="16" t="n"/>
      <c r="I467" s="16" t="n"/>
      <c r="J467" s="16" t="n"/>
      <c r="K467" s="16" t="n"/>
      <c r="L467" s="16" t="n"/>
      <c r="M467" s="16" t="n"/>
      <c r="N467" s="16" t="n"/>
      <c r="O467" s="16" t="n"/>
      <c r="P467" s="16" t="n"/>
      <c r="Q467" s="16" t="n"/>
      <c r="R467" s="16" t="n"/>
      <c r="S467" s="16" t="n"/>
      <c r="T467" s="16" t="n"/>
      <c r="U467" s="16" t="n"/>
      <c r="V467" s="16" t="n"/>
      <c r="W467" s="16" t="n"/>
      <c r="X467" s="16" t="n"/>
      <c r="Y467" s="16" t="n"/>
      <c r="Z467" s="16" t="n"/>
      <c r="AA467" s="16" t="n"/>
    </row>
    <row r="468">
      <c r="A468" s="16" t="n"/>
      <c r="B468" s="16" t="n"/>
      <c r="C468" s="16" t="n"/>
      <c r="D468" s="16" t="n"/>
      <c r="E468" s="16" t="n"/>
      <c r="F468" s="16" t="n"/>
      <c r="G468" s="16" t="n"/>
      <c r="H468" s="16" t="n"/>
      <c r="I468" s="16" t="n"/>
      <c r="J468" s="16" t="n"/>
      <c r="K468" s="16" t="n"/>
      <c r="L468" s="16" t="n"/>
      <c r="M468" s="16" t="n"/>
      <c r="N468" s="16" t="n"/>
      <c r="O468" s="16" t="n"/>
      <c r="P468" s="16" t="n"/>
      <c r="Q468" s="16" t="n"/>
      <c r="R468" s="16" t="n"/>
      <c r="S468" s="16" t="n"/>
      <c r="T468" s="16" t="n"/>
      <c r="U468" s="16" t="n"/>
      <c r="V468" s="16" t="n"/>
      <c r="W468" s="16" t="n"/>
      <c r="X468" s="16" t="n"/>
      <c r="Y468" s="16" t="n"/>
      <c r="Z468" s="16" t="n"/>
      <c r="AA468" s="16" t="n"/>
    </row>
    <row r="469">
      <c r="A469" s="16" t="n"/>
      <c r="B469" s="16" t="n"/>
      <c r="C469" s="16" t="n"/>
      <c r="D469" s="16" t="n"/>
      <c r="E469" s="16" t="n"/>
      <c r="F469" s="16" t="n"/>
      <c r="G469" s="16" t="n"/>
      <c r="H469" s="16" t="n"/>
      <c r="I469" s="16" t="n"/>
      <c r="J469" s="16" t="n"/>
      <c r="K469" s="16" t="n"/>
      <c r="L469" s="16" t="n"/>
      <c r="M469" s="16" t="n"/>
      <c r="N469" s="16" t="n"/>
      <c r="O469" s="16" t="n"/>
      <c r="P469" s="16" t="n"/>
      <c r="Q469" s="16" t="n"/>
      <c r="R469" s="16" t="n"/>
      <c r="S469" s="16" t="n"/>
      <c r="T469" s="16" t="n"/>
      <c r="U469" s="16" t="n"/>
      <c r="V469" s="16" t="n"/>
      <c r="W469" s="16" t="n"/>
      <c r="X469" s="16" t="n"/>
      <c r="Y469" s="16" t="n"/>
      <c r="Z469" s="16" t="n"/>
      <c r="AA469" s="16" t="n"/>
    </row>
    <row r="470">
      <c r="A470" s="16" t="n"/>
      <c r="B470" s="16" t="n"/>
      <c r="C470" s="16" t="n"/>
      <c r="D470" s="16" t="n"/>
      <c r="E470" s="16" t="n"/>
      <c r="F470" s="16" t="n"/>
      <c r="G470" s="16" t="n"/>
      <c r="H470" s="16" t="n"/>
      <c r="I470" s="16" t="n"/>
      <c r="J470" s="16" t="n"/>
      <c r="K470" s="16" t="n"/>
      <c r="L470" s="16" t="n"/>
      <c r="M470" s="16" t="n"/>
      <c r="N470" s="16" t="n"/>
      <c r="O470" s="16" t="n"/>
      <c r="P470" s="16" t="n"/>
      <c r="Q470" s="16" t="n"/>
      <c r="R470" s="16" t="n"/>
      <c r="S470" s="16" t="n"/>
      <c r="T470" s="16" t="n"/>
      <c r="U470" s="16" t="n"/>
      <c r="V470" s="16" t="n"/>
      <c r="W470" s="16" t="n"/>
      <c r="X470" s="16" t="n"/>
      <c r="Y470" s="16" t="n"/>
      <c r="Z470" s="16" t="n"/>
      <c r="AA470" s="16" t="n"/>
    </row>
    <row r="471">
      <c r="A471" s="16" t="n"/>
      <c r="B471" s="16" t="n"/>
      <c r="C471" s="16" t="n"/>
      <c r="D471" s="16" t="n"/>
      <c r="E471" s="16" t="n"/>
      <c r="F471" s="16" t="n"/>
      <c r="G471" s="16" t="n"/>
      <c r="H471" s="16" t="n"/>
      <c r="I471" s="16" t="n"/>
      <c r="J471" s="16" t="n"/>
      <c r="K471" s="16" t="n"/>
      <c r="L471" s="16" t="n"/>
      <c r="M471" s="16" t="n"/>
      <c r="N471" s="16" t="n"/>
      <c r="O471" s="16" t="n"/>
      <c r="P471" s="16" t="n"/>
      <c r="Q471" s="16" t="n"/>
      <c r="R471" s="16" t="n"/>
      <c r="S471" s="16" t="n"/>
      <c r="T471" s="16" t="n"/>
      <c r="U471" s="16" t="n"/>
      <c r="V471" s="16" t="n"/>
      <c r="W471" s="16" t="n"/>
      <c r="X471" s="16" t="n"/>
      <c r="Y471" s="16" t="n"/>
      <c r="Z471" s="16" t="n"/>
      <c r="AA471" s="16" t="n"/>
    </row>
    <row r="472">
      <c r="A472" s="16" t="n"/>
      <c r="B472" s="16" t="n"/>
      <c r="C472" s="16" t="n"/>
      <c r="D472" s="16" t="n"/>
      <c r="E472" s="16" t="n"/>
      <c r="F472" s="16" t="n"/>
      <c r="G472" s="16" t="n"/>
      <c r="H472" s="16" t="n"/>
      <c r="I472" s="16" t="n"/>
      <c r="J472" s="16" t="n"/>
      <c r="K472" s="16" t="n"/>
      <c r="L472" s="16" t="n"/>
      <c r="M472" s="16" t="n"/>
      <c r="N472" s="16" t="n"/>
      <c r="O472" s="16" t="n"/>
      <c r="P472" s="16" t="n"/>
      <c r="Q472" s="16" t="n"/>
      <c r="R472" s="16" t="n"/>
      <c r="S472" s="16" t="n"/>
      <c r="T472" s="16" t="n"/>
      <c r="U472" s="16" t="n"/>
      <c r="V472" s="16" t="n"/>
      <c r="W472" s="16" t="n"/>
      <c r="X472" s="16" t="n"/>
      <c r="Y472" s="16" t="n"/>
      <c r="Z472" s="16" t="n"/>
      <c r="AA472" s="16" t="n"/>
    </row>
    <row r="473">
      <c r="A473" s="16" t="n"/>
      <c r="B473" s="16" t="n"/>
      <c r="C473" s="16" t="n"/>
      <c r="D473" s="16" t="n"/>
      <c r="E473" s="16" t="n"/>
      <c r="F473" s="16" t="n"/>
      <c r="G473" s="16" t="n"/>
      <c r="H473" s="16" t="n"/>
      <c r="I473" s="16" t="n"/>
      <c r="J473" s="16" t="n"/>
      <c r="K473" s="16" t="n"/>
      <c r="L473" s="16" t="n"/>
      <c r="M473" s="16" t="n"/>
      <c r="N473" s="16" t="n"/>
      <c r="O473" s="16" t="n"/>
      <c r="P473" s="16" t="n"/>
      <c r="Q473" s="16" t="n"/>
      <c r="R473" s="16" t="n"/>
      <c r="S473" s="16" t="n"/>
      <c r="T473" s="16" t="n"/>
      <c r="U473" s="16" t="n"/>
      <c r="V473" s="16" t="n"/>
      <c r="W473" s="16" t="n"/>
      <c r="X473" s="16" t="n"/>
      <c r="Y473" s="16" t="n"/>
      <c r="Z473" s="16" t="n"/>
      <c r="AA473" s="16" t="n"/>
    </row>
    <row r="474">
      <c r="A474" s="16" t="n"/>
      <c r="B474" s="16" t="n"/>
      <c r="C474" s="16" t="n"/>
      <c r="D474" s="16" t="n"/>
      <c r="E474" s="16" t="n"/>
      <c r="F474" s="16" t="n"/>
      <c r="G474" s="16" t="n"/>
      <c r="H474" s="16" t="n"/>
      <c r="I474" s="16" t="n"/>
      <c r="J474" s="16" t="n"/>
      <c r="K474" s="16" t="n"/>
      <c r="L474" s="16" t="n"/>
      <c r="M474" s="16" t="n"/>
      <c r="N474" s="16" t="n"/>
      <c r="O474" s="16" t="n"/>
      <c r="P474" s="16" t="n"/>
      <c r="Q474" s="16" t="n"/>
      <c r="R474" s="16" t="n"/>
      <c r="S474" s="16" t="n"/>
      <c r="T474" s="16" t="n"/>
      <c r="U474" s="16" t="n"/>
      <c r="V474" s="16" t="n"/>
      <c r="W474" s="16" t="n"/>
      <c r="X474" s="16" t="n"/>
      <c r="Y474" s="16" t="n"/>
      <c r="Z474" s="16" t="n"/>
      <c r="AA474" s="16" t="n"/>
    </row>
    <row r="475">
      <c r="A475" s="16" t="n"/>
      <c r="B475" s="16" t="n"/>
      <c r="C475" s="16" t="n"/>
      <c r="D475" s="16" t="n"/>
      <c r="E475" s="16" t="n"/>
      <c r="F475" s="16" t="n"/>
      <c r="G475" s="16" t="n"/>
      <c r="H475" s="16" t="n"/>
      <c r="I475" s="16" t="n"/>
      <c r="J475" s="16" t="n"/>
      <c r="K475" s="16" t="n"/>
      <c r="L475" s="16" t="n"/>
      <c r="M475" s="16" t="n"/>
      <c r="N475" s="16" t="n"/>
      <c r="O475" s="16" t="n"/>
      <c r="P475" s="16" t="n"/>
      <c r="Q475" s="16" t="n"/>
      <c r="R475" s="16" t="n"/>
      <c r="S475" s="16" t="n"/>
      <c r="T475" s="16" t="n"/>
      <c r="U475" s="16" t="n"/>
      <c r="V475" s="16" t="n"/>
      <c r="W475" s="16" t="n"/>
      <c r="X475" s="16" t="n"/>
      <c r="Y475" s="16" t="n"/>
      <c r="Z475" s="16" t="n"/>
      <c r="AA475" s="16" t="n"/>
    </row>
    <row r="476">
      <c r="A476" s="16" t="n"/>
      <c r="B476" s="16" t="n"/>
      <c r="C476" s="16" t="n"/>
      <c r="D476" s="16" t="n"/>
      <c r="E476" s="16" t="n"/>
      <c r="F476" s="16" t="n"/>
      <c r="G476" s="16" t="n"/>
      <c r="H476" s="16" t="n"/>
      <c r="I476" s="16" t="n"/>
      <c r="J476" s="16" t="n"/>
      <c r="K476" s="16" t="n"/>
      <c r="L476" s="16" t="n"/>
      <c r="M476" s="16" t="n"/>
      <c r="N476" s="16" t="n"/>
      <c r="O476" s="16" t="n"/>
      <c r="P476" s="16" t="n"/>
      <c r="Q476" s="16" t="n"/>
      <c r="R476" s="16" t="n"/>
      <c r="S476" s="16" t="n"/>
      <c r="T476" s="16" t="n"/>
      <c r="U476" s="16" t="n"/>
      <c r="V476" s="16" t="n"/>
      <c r="W476" s="16" t="n"/>
      <c r="X476" s="16" t="n"/>
      <c r="Y476" s="16" t="n"/>
      <c r="Z476" s="16" t="n"/>
      <c r="AA476" s="16" t="n"/>
    </row>
    <row r="477">
      <c r="A477" s="16" t="n"/>
      <c r="B477" s="16" t="n"/>
      <c r="C477" s="16" t="n"/>
      <c r="D477" s="16" t="n"/>
      <c r="E477" s="16" t="n"/>
      <c r="F477" s="16" t="n"/>
      <c r="G477" s="16" t="n"/>
      <c r="H477" s="16" t="n"/>
      <c r="I477" s="16" t="n"/>
      <c r="J477" s="16" t="n"/>
      <c r="K477" s="16" t="n"/>
      <c r="L477" s="16" t="n"/>
      <c r="M477" s="16" t="n"/>
      <c r="N477" s="16" t="n"/>
      <c r="O477" s="16" t="n"/>
      <c r="P477" s="16" t="n"/>
      <c r="Q477" s="16" t="n"/>
      <c r="R477" s="16" t="n"/>
      <c r="S477" s="16" t="n"/>
      <c r="T477" s="16" t="n"/>
      <c r="U477" s="16" t="n"/>
      <c r="V477" s="16" t="n"/>
      <c r="W477" s="16" t="n"/>
      <c r="X477" s="16" t="n"/>
      <c r="Y477" s="16" t="n"/>
      <c r="Z477" s="16" t="n"/>
      <c r="AA477" s="16" t="n"/>
    </row>
    <row r="478">
      <c r="A478" s="16" t="n"/>
      <c r="B478" s="16" t="n"/>
      <c r="C478" s="16" t="n"/>
      <c r="D478" s="16" t="n"/>
      <c r="E478" s="16" t="n"/>
      <c r="F478" s="16" t="n"/>
      <c r="G478" s="16" t="n"/>
      <c r="H478" s="16" t="n"/>
      <c r="I478" s="16" t="n"/>
      <c r="J478" s="16" t="n"/>
      <c r="K478" s="16" t="n"/>
      <c r="L478" s="16" t="n"/>
      <c r="M478" s="16" t="n"/>
      <c r="N478" s="16" t="n"/>
      <c r="O478" s="16" t="n"/>
      <c r="P478" s="16" t="n"/>
      <c r="Q478" s="16" t="n"/>
      <c r="R478" s="16" t="n"/>
      <c r="S478" s="16" t="n"/>
      <c r="T478" s="16" t="n"/>
      <c r="U478" s="16" t="n"/>
      <c r="V478" s="16" t="n"/>
      <c r="W478" s="16" t="n"/>
      <c r="X478" s="16" t="n"/>
      <c r="Y478" s="16" t="n"/>
      <c r="Z478" s="16" t="n"/>
      <c r="AA478" s="16" t="n"/>
    </row>
    <row r="479">
      <c r="A479" s="16" t="n"/>
      <c r="B479" s="16" t="n"/>
      <c r="C479" s="16" t="n"/>
      <c r="D479" s="16" t="n"/>
      <c r="E479" s="16" t="n"/>
      <c r="F479" s="16" t="n"/>
      <c r="G479" s="16" t="n"/>
      <c r="H479" s="16" t="n"/>
      <c r="I479" s="16" t="n"/>
      <c r="J479" s="16" t="n"/>
      <c r="K479" s="16" t="n"/>
      <c r="L479" s="16" t="n"/>
      <c r="M479" s="16" t="n"/>
      <c r="N479" s="16" t="n"/>
      <c r="O479" s="16" t="n"/>
      <c r="P479" s="16" t="n"/>
      <c r="Q479" s="16" t="n"/>
      <c r="R479" s="16" t="n"/>
      <c r="S479" s="16" t="n"/>
      <c r="T479" s="16" t="n"/>
      <c r="U479" s="16" t="n"/>
      <c r="V479" s="16" t="n"/>
      <c r="W479" s="16" t="n"/>
      <c r="X479" s="16" t="n"/>
      <c r="Y479" s="16" t="n"/>
      <c r="Z479" s="16" t="n"/>
      <c r="AA479" s="16" t="n"/>
    </row>
    <row r="480">
      <c r="A480" s="16" t="n"/>
      <c r="B480" s="16" t="n"/>
      <c r="C480" s="16" t="n"/>
      <c r="D480" s="16" t="n"/>
      <c r="E480" s="16" t="n"/>
      <c r="F480" s="16" t="n"/>
      <c r="G480" s="16" t="n"/>
      <c r="H480" s="16" t="n"/>
      <c r="I480" s="16" t="n"/>
      <c r="J480" s="16" t="n"/>
      <c r="K480" s="16" t="n"/>
      <c r="L480" s="16" t="n"/>
      <c r="M480" s="16" t="n"/>
      <c r="N480" s="16" t="n"/>
      <c r="O480" s="16" t="n"/>
      <c r="P480" s="16" t="n"/>
      <c r="Q480" s="16" t="n"/>
      <c r="R480" s="16" t="n"/>
      <c r="S480" s="16" t="n"/>
      <c r="T480" s="16" t="n"/>
      <c r="U480" s="16" t="n"/>
      <c r="V480" s="16" t="n"/>
      <c r="W480" s="16" t="n"/>
      <c r="X480" s="16" t="n"/>
      <c r="Y480" s="16" t="n"/>
      <c r="Z480" s="16" t="n"/>
      <c r="AA480" s="16" t="n"/>
    </row>
    <row r="481">
      <c r="A481" s="16" t="n"/>
      <c r="B481" s="16" t="n"/>
      <c r="C481" s="16" t="n"/>
      <c r="D481" s="16" t="n"/>
      <c r="E481" s="16" t="n"/>
      <c r="F481" s="16" t="n"/>
      <c r="G481" s="16" t="n"/>
      <c r="H481" s="16" t="n"/>
      <c r="I481" s="16" t="n"/>
      <c r="J481" s="16" t="n"/>
      <c r="K481" s="16" t="n"/>
      <c r="L481" s="16" t="n"/>
      <c r="M481" s="16" t="n"/>
      <c r="N481" s="16" t="n"/>
      <c r="O481" s="16" t="n"/>
      <c r="P481" s="16" t="n"/>
      <c r="Q481" s="16" t="n"/>
      <c r="R481" s="16" t="n"/>
      <c r="S481" s="16" t="n"/>
      <c r="T481" s="16" t="n"/>
      <c r="U481" s="16" t="n"/>
      <c r="V481" s="16" t="n"/>
      <c r="W481" s="16" t="n"/>
      <c r="X481" s="16" t="n"/>
      <c r="Y481" s="16" t="n"/>
      <c r="Z481" s="16" t="n"/>
      <c r="AA481" s="16" t="n"/>
    </row>
    <row r="482">
      <c r="A482" s="16" t="n"/>
      <c r="B482" s="16" t="n"/>
      <c r="C482" s="16" t="n"/>
      <c r="D482" s="16" t="n"/>
      <c r="E482" s="16" t="n"/>
      <c r="F482" s="16" t="n"/>
      <c r="G482" s="16" t="n"/>
      <c r="H482" s="16" t="n"/>
      <c r="I482" s="16" t="n"/>
      <c r="J482" s="16" t="n"/>
      <c r="K482" s="16" t="n"/>
      <c r="L482" s="16" t="n"/>
      <c r="M482" s="16" t="n"/>
      <c r="N482" s="16" t="n"/>
      <c r="O482" s="16" t="n"/>
      <c r="P482" s="16" t="n"/>
      <c r="Q482" s="16" t="n"/>
      <c r="R482" s="16" t="n"/>
      <c r="S482" s="16" t="n"/>
      <c r="T482" s="16" t="n"/>
      <c r="U482" s="16" t="n"/>
      <c r="V482" s="16" t="n"/>
      <c r="W482" s="16" t="n"/>
      <c r="X482" s="16" t="n"/>
      <c r="Y482" s="16" t="n"/>
      <c r="Z482" s="16" t="n"/>
      <c r="AA482" s="16" t="n"/>
    </row>
    <row r="483">
      <c r="A483" s="16" t="n"/>
      <c r="B483" s="16" t="n"/>
      <c r="C483" s="16" t="n"/>
      <c r="D483" s="16" t="n"/>
      <c r="E483" s="16" t="n"/>
      <c r="F483" s="16" t="n"/>
      <c r="G483" s="16" t="n"/>
      <c r="H483" s="16" t="n"/>
      <c r="I483" s="16" t="n"/>
      <c r="J483" s="16" t="n"/>
      <c r="K483" s="16" t="n"/>
      <c r="L483" s="16" t="n"/>
      <c r="M483" s="16" t="n"/>
      <c r="N483" s="16" t="n"/>
      <c r="O483" s="16" t="n"/>
      <c r="P483" s="16" t="n"/>
      <c r="Q483" s="16" t="n"/>
      <c r="R483" s="16" t="n"/>
      <c r="S483" s="16" t="n"/>
      <c r="T483" s="16" t="n"/>
      <c r="U483" s="16" t="n"/>
      <c r="V483" s="16" t="n"/>
      <c r="W483" s="16" t="n"/>
      <c r="X483" s="16" t="n"/>
      <c r="Y483" s="16" t="n"/>
      <c r="Z483" s="16" t="n"/>
      <c r="AA483" s="16" t="n"/>
    </row>
    <row r="484">
      <c r="A484" s="16" t="n"/>
      <c r="B484" s="16" t="n"/>
      <c r="C484" s="16" t="n"/>
      <c r="D484" s="16" t="n"/>
      <c r="E484" s="16" t="n"/>
      <c r="F484" s="16" t="n"/>
      <c r="G484" s="16" t="n"/>
      <c r="H484" s="16" t="n"/>
      <c r="I484" s="16" t="n"/>
      <c r="J484" s="16" t="n"/>
      <c r="K484" s="16" t="n"/>
      <c r="L484" s="16" t="n"/>
      <c r="M484" s="16" t="n"/>
      <c r="N484" s="16" t="n"/>
      <c r="O484" s="16" t="n"/>
      <c r="P484" s="16" t="n"/>
      <c r="Q484" s="16" t="n"/>
      <c r="R484" s="16" t="n"/>
      <c r="S484" s="16" t="n"/>
      <c r="T484" s="16" t="n"/>
      <c r="U484" s="16" t="n"/>
      <c r="V484" s="16" t="n"/>
      <c r="W484" s="16" t="n"/>
      <c r="X484" s="16" t="n"/>
      <c r="Y484" s="16" t="n"/>
      <c r="Z484" s="16" t="n"/>
      <c r="AA484" s="16" t="n"/>
    </row>
    <row r="485">
      <c r="A485" s="16" t="n"/>
      <c r="B485" s="16" t="n"/>
      <c r="C485" s="16" t="n"/>
      <c r="D485" s="16" t="n"/>
      <c r="E485" s="16" t="n"/>
      <c r="F485" s="16" t="n"/>
      <c r="G485" s="16" t="n"/>
      <c r="H485" s="16" t="n"/>
      <c r="I485" s="16" t="n"/>
      <c r="J485" s="16" t="n"/>
      <c r="K485" s="16" t="n"/>
      <c r="L485" s="16" t="n"/>
      <c r="M485" s="16" t="n"/>
      <c r="N485" s="16" t="n"/>
      <c r="O485" s="16" t="n"/>
      <c r="P485" s="16" t="n"/>
      <c r="Q485" s="16" t="n"/>
      <c r="R485" s="16" t="n"/>
      <c r="S485" s="16" t="n"/>
      <c r="T485" s="16" t="n"/>
      <c r="U485" s="16" t="n"/>
      <c r="V485" s="16" t="n"/>
      <c r="W485" s="16" t="n"/>
      <c r="X485" s="16" t="n"/>
      <c r="Y485" s="16" t="n"/>
      <c r="Z485" s="16" t="n"/>
      <c r="AA485" s="16" t="n"/>
    </row>
    <row r="486">
      <c r="A486" s="16" t="n"/>
      <c r="B486" s="16" t="n"/>
      <c r="C486" s="16" t="n"/>
      <c r="D486" s="16" t="n"/>
      <c r="E486" s="16" t="n"/>
      <c r="F486" s="16" t="n"/>
      <c r="G486" s="16" t="n"/>
      <c r="H486" s="16" t="n"/>
      <c r="I486" s="16" t="n"/>
      <c r="J486" s="16" t="n"/>
      <c r="K486" s="16" t="n"/>
      <c r="L486" s="16" t="n"/>
      <c r="M486" s="16" t="n"/>
      <c r="N486" s="16" t="n"/>
      <c r="O486" s="16" t="n"/>
      <c r="P486" s="16" t="n"/>
      <c r="Q486" s="16" t="n"/>
      <c r="R486" s="16" t="n"/>
      <c r="S486" s="16" t="n"/>
      <c r="T486" s="16" t="n"/>
      <c r="U486" s="16" t="n"/>
      <c r="V486" s="16" t="n"/>
      <c r="W486" s="16" t="n"/>
      <c r="X486" s="16" t="n"/>
      <c r="Y486" s="16" t="n"/>
      <c r="Z486" s="16" t="n"/>
      <c r="AA486" s="16" t="n"/>
    </row>
    <row r="487">
      <c r="A487" s="16" t="n"/>
      <c r="B487" s="16" t="n"/>
      <c r="C487" s="16" t="n"/>
      <c r="D487" s="16" t="n"/>
      <c r="E487" s="16" t="n"/>
      <c r="F487" s="16" t="n"/>
      <c r="G487" s="16" t="n"/>
      <c r="H487" s="16" t="n"/>
      <c r="I487" s="16" t="n"/>
      <c r="J487" s="16" t="n"/>
      <c r="K487" s="16" t="n"/>
      <c r="L487" s="16" t="n"/>
      <c r="M487" s="16" t="n"/>
      <c r="N487" s="16" t="n"/>
      <c r="O487" s="16" t="n"/>
      <c r="P487" s="16" t="n"/>
      <c r="Q487" s="16" t="n"/>
      <c r="R487" s="16" t="n"/>
      <c r="S487" s="16" t="n"/>
      <c r="T487" s="16" t="n"/>
      <c r="U487" s="16" t="n"/>
      <c r="V487" s="16" t="n"/>
      <c r="W487" s="16" t="n"/>
      <c r="X487" s="16" t="n"/>
      <c r="Y487" s="16" t="n"/>
      <c r="Z487" s="16" t="n"/>
      <c r="AA487" s="16" t="n"/>
    </row>
    <row r="488">
      <c r="A488" s="16" t="n"/>
      <c r="B488" s="16" t="n"/>
      <c r="C488" s="16" t="n"/>
      <c r="D488" s="16" t="n"/>
      <c r="E488" s="16" t="n"/>
      <c r="F488" s="16" t="n"/>
      <c r="G488" s="16" t="n"/>
      <c r="H488" s="16" t="n"/>
      <c r="I488" s="16" t="n"/>
      <c r="J488" s="16" t="n"/>
      <c r="K488" s="16" t="n"/>
      <c r="L488" s="16" t="n"/>
      <c r="M488" s="16" t="n"/>
      <c r="N488" s="16" t="n"/>
      <c r="O488" s="16" t="n"/>
      <c r="P488" s="16" t="n"/>
      <c r="Q488" s="16" t="n"/>
      <c r="R488" s="16" t="n"/>
      <c r="S488" s="16" t="n"/>
      <c r="T488" s="16" t="n"/>
      <c r="U488" s="16" t="n"/>
      <c r="V488" s="16" t="n"/>
      <c r="W488" s="16" t="n"/>
      <c r="X488" s="16" t="n"/>
      <c r="Y488" s="16" t="n"/>
      <c r="Z488" s="16" t="n"/>
      <c r="AA488" s="16" t="n"/>
    </row>
    <row r="489">
      <c r="A489" s="16" t="n"/>
      <c r="B489" s="16" t="n"/>
      <c r="C489" s="16" t="n"/>
      <c r="D489" s="16" t="n"/>
      <c r="E489" s="16" t="n"/>
      <c r="F489" s="16" t="n"/>
      <c r="G489" s="16" t="n"/>
      <c r="H489" s="16" t="n"/>
      <c r="I489" s="16" t="n"/>
      <c r="J489" s="16" t="n"/>
      <c r="K489" s="16" t="n"/>
      <c r="L489" s="16" t="n"/>
      <c r="M489" s="16" t="n"/>
      <c r="N489" s="16" t="n"/>
      <c r="O489" s="16" t="n"/>
      <c r="P489" s="16" t="n"/>
      <c r="Q489" s="16" t="n"/>
      <c r="R489" s="16" t="n"/>
      <c r="S489" s="16" t="n"/>
      <c r="T489" s="16" t="n"/>
      <c r="U489" s="16" t="n"/>
      <c r="V489" s="16" t="n"/>
      <c r="W489" s="16" t="n"/>
      <c r="X489" s="16" t="n"/>
      <c r="Y489" s="16" t="n"/>
      <c r="Z489" s="16" t="n"/>
      <c r="AA489" s="16" t="n"/>
    </row>
    <row r="490">
      <c r="A490" s="16" t="n"/>
      <c r="B490" s="16" t="n"/>
      <c r="C490" s="16" t="n"/>
      <c r="D490" s="16" t="n"/>
      <c r="E490" s="16" t="n"/>
      <c r="F490" s="16" t="n"/>
      <c r="G490" s="16" t="n"/>
      <c r="H490" s="16" t="n"/>
      <c r="I490" s="16" t="n"/>
      <c r="J490" s="16" t="n"/>
      <c r="K490" s="16" t="n"/>
      <c r="L490" s="16" t="n"/>
      <c r="M490" s="16" t="n"/>
      <c r="N490" s="16" t="n"/>
      <c r="O490" s="16" t="n"/>
      <c r="P490" s="16" t="n"/>
      <c r="Q490" s="16" t="n"/>
      <c r="R490" s="16" t="n"/>
      <c r="S490" s="16" t="n"/>
      <c r="T490" s="16" t="n"/>
      <c r="U490" s="16" t="n"/>
      <c r="V490" s="16" t="n"/>
      <c r="W490" s="16" t="n"/>
      <c r="X490" s="16" t="n"/>
      <c r="Y490" s="16" t="n"/>
      <c r="Z490" s="16" t="n"/>
      <c r="AA490" s="16" t="n"/>
    </row>
    <row r="491">
      <c r="A491" s="16" t="n"/>
      <c r="B491" s="16" t="n"/>
      <c r="C491" s="16" t="n"/>
      <c r="D491" s="16" t="n"/>
      <c r="E491" s="16" t="n"/>
      <c r="F491" s="16" t="n"/>
      <c r="G491" s="16" t="n"/>
      <c r="H491" s="16" t="n"/>
      <c r="I491" s="16" t="n"/>
      <c r="J491" s="16" t="n"/>
      <c r="K491" s="16" t="n"/>
      <c r="L491" s="16" t="n"/>
      <c r="M491" s="16" t="n"/>
      <c r="N491" s="16" t="n"/>
      <c r="O491" s="16" t="n"/>
      <c r="P491" s="16" t="n"/>
      <c r="Q491" s="16" t="n"/>
      <c r="R491" s="16" t="n"/>
      <c r="S491" s="16" t="n"/>
      <c r="T491" s="16" t="n"/>
      <c r="U491" s="16" t="n"/>
      <c r="V491" s="16" t="n"/>
      <c r="W491" s="16" t="n"/>
      <c r="X491" s="16" t="n"/>
      <c r="Y491" s="16" t="n"/>
      <c r="Z491" s="16" t="n"/>
      <c r="AA491" s="16" t="n"/>
    </row>
    <row r="492">
      <c r="A492" s="16" t="n"/>
      <c r="B492" s="16" t="n"/>
      <c r="C492" s="16" t="n"/>
      <c r="D492" s="16" t="n"/>
      <c r="E492" s="16" t="n"/>
      <c r="F492" s="16" t="n"/>
      <c r="G492" s="16" t="n"/>
      <c r="H492" s="16" t="n"/>
      <c r="I492" s="16" t="n"/>
      <c r="J492" s="16" t="n"/>
      <c r="K492" s="16" t="n"/>
      <c r="L492" s="16" t="n"/>
      <c r="M492" s="16" t="n"/>
      <c r="N492" s="16" t="n"/>
      <c r="O492" s="16" t="n"/>
      <c r="P492" s="16" t="n"/>
      <c r="Q492" s="16" t="n"/>
      <c r="R492" s="16" t="n"/>
      <c r="S492" s="16" t="n"/>
      <c r="T492" s="16" t="n"/>
      <c r="U492" s="16" t="n"/>
      <c r="V492" s="16" t="n"/>
      <c r="W492" s="16" t="n"/>
      <c r="X492" s="16" t="n"/>
      <c r="Y492" s="16" t="n"/>
      <c r="Z492" s="16" t="n"/>
      <c r="AA492" s="16" t="n"/>
    </row>
    <row r="493">
      <c r="A493" s="16" t="n"/>
      <c r="B493" s="16" t="n"/>
      <c r="C493" s="16" t="n"/>
      <c r="D493" s="16" t="n"/>
      <c r="E493" s="16" t="n"/>
      <c r="F493" s="16" t="n"/>
      <c r="G493" s="16" t="n"/>
      <c r="H493" s="16" t="n"/>
      <c r="I493" s="16" t="n"/>
      <c r="J493" s="16" t="n"/>
      <c r="K493" s="16" t="n"/>
      <c r="L493" s="16" t="n"/>
      <c r="M493" s="16" t="n"/>
      <c r="N493" s="16" t="n"/>
      <c r="O493" s="16" t="n"/>
      <c r="P493" s="16" t="n"/>
      <c r="Q493" s="16" t="n"/>
      <c r="R493" s="16" t="n"/>
      <c r="S493" s="16" t="n"/>
      <c r="T493" s="16" t="n"/>
      <c r="U493" s="16" t="n"/>
      <c r="V493" s="16" t="n"/>
      <c r="W493" s="16" t="n"/>
      <c r="X493" s="16" t="n"/>
      <c r="Y493" s="16" t="n"/>
      <c r="Z493" s="16" t="n"/>
      <c r="AA493" s="16" t="n"/>
    </row>
    <row r="494">
      <c r="A494" s="16" t="n"/>
      <c r="B494" s="16" t="n"/>
      <c r="C494" s="16" t="n"/>
      <c r="D494" s="16" t="n"/>
      <c r="E494" s="16" t="n"/>
      <c r="F494" s="16" t="n"/>
      <c r="G494" s="16" t="n"/>
      <c r="H494" s="16" t="n"/>
      <c r="I494" s="16" t="n"/>
      <c r="J494" s="16" t="n"/>
      <c r="K494" s="16" t="n"/>
      <c r="L494" s="16" t="n"/>
      <c r="M494" s="16" t="n"/>
      <c r="N494" s="16" t="n"/>
      <c r="O494" s="16" t="n"/>
      <c r="P494" s="16" t="n"/>
      <c r="Q494" s="16" t="n"/>
      <c r="R494" s="16" t="n"/>
      <c r="S494" s="16" t="n"/>
      <c r="T494" s="16" t="n"/>
      <c r="U494" s="16" t="n"/>
      <c r="V494" s="16" t="n"/>
      <c r="W494" s="16" t="n"/>
      <c r="X494" s="16" t="n"/>
      <c r="Y494" s="16" t="n"/>
      <c r="Z494" s="16" t="n"/>
      <c r="AA494" s="16" t="n"/>
    </row>
    <row r="495">
      <c r="A495" s="16" t="n"/>
      <c r="B495" s="16" t="n"/>
      <c r="C495" s="16" t="n"/>
      <c r="D495" s="16" t="n"/>
      <c r="E495" s="16" t="n"/>
      <c r="F495" s="16" t="n"/>
      <c r="G495" s="16" t="n"/>
      <c r="H495" s="16" t="n"/>
      <c r="I495" s="16" t="n"/>
      <c r="J495" s="16" t="n"/>
      <c r="K495" s="16" t="n"/>
      <c r="L495" s="16" t="n"/>
      <c r="M495" s="16" t="n"/>
      <c r="N495" s="16" t="n"/>
      <c r="O495" s="16" t="n"/>
      <c r="P495" s="16" t="n"/>
      <c r="Q495" s="16" t="n"/>
      <c r="R495" s="16" t="n"/>
      <c r="S495" s="16" t="n"/>
      <c r="T495" s="16" t="n"/>
      <c r="U495" s="16" t="n"/>
      <c r="V495" s="16" t="n"/>
      <c r="W495" s="16" t="n"/>
      <c r="X495" s="16" t="n"/>
      <c r="Y495" s="16" t="n"/>
      <c r="Z495" s="16" t="n"/>
      <c r="AA495" s="16" t="n"/>
    </row>
    <row r="496">
      <c r="A496" s="16" t="n"/>
      <c r="B496" s="16" t="n"/>
      <c r="C496" s="16" t="n"/>
      <c r="D496" s="16" t="n"/>
      <c r="E496" s="16" t="n"/>
      <c r="F496" s="16" t="n"/>
      <c r="G496" s="16" t="n"/>
      <c r="H496" s="16" t="n"/>
      <c r="I496" s="16" t="n"/>
      <c r="J496" s="16" t="n"/>
      <c r="K496" s="16" t="n"/>
      <c r="L496" s="16" t="n"/>
      <c r="M496" s="16" t="n"/>
      <c r="N496" s="16" t="n"/>
      <c r="O496" s="16" t="n"/>
      <c r="P496" s="16" t="n"/>
      <c r="Q496" s="16" t="n"/>
      <c r="R496" s="16" t="n"/>
      <c r="S496" s="16" t="n"/>
      <c r="T496" s="16" t="n"/>
      <c r="U496" s="16" t="n"/>
      <c r="V496" s="16" t="n"/>
      <c r="W496" s="16" t="n"/>
      <c r="X496" s="16" t="n"/>
      <c r="Y496" s="16" t="n"/>
      <c r="Z496" s="16" t="n"/>
      <c r="AA496" s="16" t="n"/>
    </row>
    <row r="497">
      <c r="A497" s="16" t="n"/>
      <c r="B497" s="16" t="n"/>
      <c r="C497" s="16" t="n"/>
      <c r="D497" s="16" t="n"/>
      <c r="E497" s="16" t="n"/>
      <c r="F497" s="16" t="n"/>
      <c r="G497" s="16" t="n"/>
      <c r="H497" s="16" t="n"/>
      <c r="I497" s="16" t="n"/>
      <c r="J497" s="16" t="n"/>
      <c r="K497" s="16" t="n"/>
      <c r="L497" s="16" t="n"/>
      <c r="M497" s="16" t="n"/>
      <c r="N497" s="16" t="n"/>
      <c r="O497" s="16" t="n"/>
      <c r="P497" s="16" t="n"/>
      <c r="Q497" s="16" t="n"/>
      <c r="R497" s="16" t="n"/>
      <c r="S497" s="16" t="n"/>
      <c r="T497" s="16" t="n"/>
      <c r="U497" s="16" t="n"/>
      <c r="V497" s="16" t="n"/>
      <c r="W497" s="16" t="n"/>
      <c r="X497" s="16" t="n"/>
      <c r="Y497" s="16" t="n"/>
      <c r="Z497" s="16" t="n"/>
      <c r="AA497" s="16" t="n"/>
    </row>
    <row r="498">
      <c r="A498" s="16" t="n"/>
      <c r="B498" s="16" t="n"/>
      <c r="C498" s="16" t="n"/>
      <c r="D498" s="16" t="n"/>
      <c r="E498" s="16" t="n"/>
      <c r="F498" s="16" t="n"/>
      <c r="G498" s="16" t="n"/>
      <c r="H498" s="16" t="n"/>
      <c r="I498" s="16" t="n"/>
      <c r="J498" s="16" t="n"/>
      <c r="K498" s="16" t="n"/>
      <c r="L498" s="16" t="n"/>
      <c r="M498" s="16" t="n"/>
      <c r="N498" s="16" t="n"/>
      <c r="O498" s="16" t="n"/>
      <c r="P498" s="16" t="n"/>
      <c r="Q498" s="16" t="n"/>
      <c r="R498" s="16" t="n"/>
      <c r="S498" s="16" t="n"/>
      <c r="T498" s="16" t="n"/>
      <c r="U498" s="16" t="n"/>
      <c r="V498" s="16" t="n"/>
      <c r="W498" s="16" t="n"/>
      <c r="X498" s="16" t="n"/>
      <c r="Y498" s="16" t="n"/>
      <c r="Z498" s="16" t="n"/>
      <c r="AA498" s="16" t="n"/>
    </row>
    <row r="499">
      <c r="A499" s="16" t="n"/>
      <c r="B499" s="16" t="n"/>
      <c r="C499" s="16" t="n"/>
      <c r="D499" s="16" t="n"/>
      <c r="E499" s="16" t="n"/>
      <c r="F499" s="16" t="n"/>
      <c r="G499" s="16" t="n"/>
      <c r="H499" s="16" t="n"/>
      <c r="I499" s="16" t="n"/>
      <c r="J499" s="16" t="n"/>
      <c r="K499" s="16" t="n"/>
      <c r="L499" s="16" t="n"/>
      <c r="M499" s="16" t="n"/>
      <c r="N499" s="16" t="n"/>
      <c r="O499" s="16" t="n"/>
      <c r="P499" s="16" t="n"/>
      <c r="Q499" s="16" t="n"/>
      <c r="R499" s="16" t="n"/>
      <c r="S499" s="16" t="n"/>
      <c r="T499" s="16" t="n"/>
      <c r="U499" s="16" t="n"/>
      <c r="V499" s="16" t="n"/>
      <c r="W499" s="16" t="n"/>
      <c r="X499" s="16" t="n"/>
      <c r="Y499" s="16" t="n"/>
      <c r="Z499" s="16" t="n"/>
      <c r="AA499" s="16" t="n"/>
    </row>
    <row r="500">
      <c r="A500" s="16" t="n"/>
      <c r="B500" s="16" t="n"/>
      <c r="C500" s="16" t="n"/>
      <c r="D500" s="16" t="n"/>
      <c r="E500" s="16" t="n"/>
      <c r="F500" s="16" t="n"/>
      <c r="G500" s="16" t="n"/>
      <c r="H500" s="16" t="n"/>
      <c r="I500" s="16" t="n"/>
      <c r="J500" s="16" t="n"/>
      <c r="K500" s="16" t="n"/>
      <c r="L500" s="16" t="n"/>
      <c r="M500" s="16" t="n"/>
      <c r="N500" s="16" t="n"/>
      <c r="O500" s="16" t="n"/>
      <c r="P500" s="16" t="n"/>
      <c r="Q500" s="16" t="n"/>
      <c r="R500" s="16" t="n"/>
      <c r="S500" s="16" t="n"/>
      <c r="T500" s="16" t="n"/>
      <c r="U500" s="16" t="n"/>
      <c r="V500" s="16" t="n"/>
      <c r="W500" s="16" t="n"/>
      <c r="X500" s="16" t="n"/>
      <c r="Y500" s="16" t="n"/>
      <c r="Z500" s="16" t="n"/>
      <c r="AA500" s="16" t="n"/>
    </row>
    <row r="501">
      <c r="A501" s="16" t="n"/>
      <c r="B501" s="16" t="n"/>
      <c r="C501" s="16" t="n"/>
      <c r="D501" s="16" t="n"/>
      <c r="E501" s="16" t="n"/>
      <c r="F501" s="16" t="n"/>
      <c r="G501" s="16" t="n"/>
      <c r="H501" s="16" t="n"/>
      <c r="I501" s="16" t="n"/>
      <c r="J501" s="16" t="n"/>
      <c r="K501" s="16" t="n"/>
      <c r="L501" s="16" t="n"/>
      <c r="M501" s="16" t="n"/>
      <c r="N501" s="16" t="n"/>
      <c r="O501" s="16" t="n"/>
      <c r="P501" s="16" t="n"/>
      <c r="Q501" s="16" t="n"/>
      <c r="R501" s="16" t="n"/>
      <c r="S501" s="16" t="n"/>
      <c r="T501" s="16" t="n"/>
      <c r="U501" s="16" t="n"/>
      <c r="V501" s="16" t="n"/>
      <c r="W501" s="16" t="n"/>
      <c r="X501" s="16" t="n"/>
      <c r="Y501" s="16" t="n"/>
      <c r="Z501" s="16" t="n"/>
      <c r="AA501" s="16" t="n"/>
    </row>
    <row r="502">
      <c r="A502" s="16" t="n"/>
      <c r="B502" s="16" t="n"/>
      <c r="C502" s="16" t="n"/>
      <c r="D502" s="16" t="n"/>
      <c r="E502" s="16" t="n"/>
      <c r="F502" s="16" t="n"/>
      <c r="G502" s="16" t="n"/>
      <c r="H502" s="16" t="n"/>
      <c r="I502" s="16" t="n"/>
      <c r="J502" s="16" t="n"/>
      <c r="K502" s="16" t="n"/>
      <c r="L502" s="16" t="n"/>
      <c r="M502" s="16" t="n"/>
      <c r="N502" s="16" t="n"/>
      <c r="O502" s="16" t="n"/>
      <c r="P502" s="16" t="n"/>
      <c r="Q502" s="16" t="n"/>
      <c r="R502" s="16" t="n"/>
      <c r="S502" s="16" t="n"/>
      <c r="T502" s="16" t="n"/>
      <c r="U502" s="16" t="n"/>
      <c r="V502" s="16" t="n"/>
      <c r="W502" s="16" t="n"/>
      <c r="X502" s="16" t="n"/>
      <c r="Y502" s="16" t="n"/>
      <c r="Z502" s="16" t="n"/>
      <c r="AA502" s="16" t="n"/>
    </row>
    <row r="503">
      <c r="A503" s="16" t="n"/>
      <c r="B503" s="16" t="n"/>
      <c r="C503" s="16" t="n"/>
      <c r="D503" s="16" t="n"/>
      <c r="E503" s="16" t="n"/>
      <c r="F503" s="16" t="n"/>
      <c r="G503" s="16" t="n"/>
      <c r="H503" s="16" t="n"/>
      <c r="I503" s="16" t="n"/>
      <c r="J503" s="16" t="n"/>
      <c r="K503" s="16" t="n"/>
      <c r="L503" s="16" t="n"/>
      <c r="M503" s="16" t="n"/>
      <c r="N503" s="16" t="n"/>
      <c r="O503" s="16" t="n"/>
      <c r="P503" s="16" t="n"/>
      <c r="Q503" s="16" t="n"/>
      <c r="R503" s="16" t="n"/>
      <c r="S503" s="16" t="n"/>
      <c r="T503" s="16" t="n"/>
      <c r="U503" s="16" t="n"/>
      <c r="V503" s="16" t="n"/>
      <c r="W503" s="16" t="n"/>
      <c r="X503" s="16" t="n"/>
      <c r="Y503" s="16" t="n"/>
      <c r="Z503" s="16" t="n"/>
      <c r="AA503" s="16" t="n"/>
    </row>
    <row r="504">
      <c r="A504" s="16" t="n"/>
      <c r="B504" s="16" t="n"/>
      <c r="C504" s="16" t="n"/>
      <c r="D504" s="16" t="n"/>
      <c r="E504" s="16" t="n"/>
      <c r="F504" s="16" t="n"/>
      <c r="G504" s="16" t="n"/>
      <c r="H504" s="16" t="n"/>
      <c r="I504" s="16" t="n"/>
      <c r="J504" s="16" t="n"/>
      <c r="K504" s="16" t="n"/>
      <c r="L504" s="16" t="n"/>
      <c r="M504" s="16" t="n"/>
      <c r="N504" s="16" t="n"/>
      <c r="O504" s="16" t="n"/>
      <c r="P504" s="16" t="n"/>
      <c r="Q504" s="16" t="n"/>
      <c r="R504" s="16" t="n"/>
      <c r="S504" s="16" t="n"/>
      <c r="T504" s="16" t="n"/>
      <c r="U504" s="16" t="n"/>
      <c r="V504" s="16" t="n"/>
      <c r="W504" s="16" t="n"/>
      <c r="X504" s="16" t="n"/>
      <c r="Y504" s="16" t="n"/>
      <c r="Z504" s="16" t="n"/>
      <c r="AA504" s="16" t="n"/>
    </row>
    <row r="505">
      <c r="A505" s="16" t="n"/>
      <c r="B505" s="16" t="n"/>
      <c r="C505" s="16" t="n"/>
      <c r="D505" s="16" t="n"/>
      <c r="E505" s="16" t="n"/>
      <c r="F505" s="16" t="n"/>
      <c r="G505" s="16" t="n"/>
      <c r="H505" s="16" t="n"/>
      <c r="I505" s="16" t="n"/>
      <c r="J505" s="16" t="n"/>
      <c r="K505" s="16" t="n"/>
      <c r="L505" s="16" t="n"/>
      <c r="M505" s="16" t="n"/>
      <c r="N505" s="16" t="n"/>
      <c r="O505" s="16" t="n"/>
      <c r="P505" s="16" t="n"/>
      <c r="Q505" s="16" t="n"/>
      <c r="R505" s="16" t="n"/>
      <c r="S505" s="16" t="n"/>
      <c r="T505" s="16" t="n"/>
      <c r="U505" s="16" t="n"/>
      <c r="V505" s="16" t="n"/>
      <c r="W505" s="16" t="n"/>
      <c r="X505" s="16" t="n"/>
      <c r="Y505" s="16" t="n"/>
      <c r="Z505" s="16" t="n"/>
      <c r="AA505" s="16" t="n"/>
    </row>
    <row r="506">
      <c r="A506" s="16" t="n"/>
      <c r="B506" s="16" t="n"/>
      <c r="C506" s="16" t="n"/>
      <c r="D506" s="16" t="n"/>
      <c r="E506" s="16" t="n"/>
      <c r="F506" s="16" t="n"/>
      <c r="G506" s="16" t="n"/>
      <c r="H506" s="16" t="n"/>
      <c r="I506" s="16" t="n"/>
      <c r="J506" s="16" t="n"/>
      <c r="K506" s="16" t="n"/>
      <c r="L506" s="16" t="n"/>
      <c r="M506" s="16" t="n"/>
      <c r="N506" s="16" t="n"/>
      <c r="O506" s="16" t="n"/>
      <c r="P506" s="16" t="n"/>
      <c r="Q506" s="16" t="n"/>
      <c r="R506" s="16" t="n"/>
      <c r="S506" s="16" t="n"/>
      <c r="T506" s="16" t="n"/>
      <c r="U506" s="16" t="n"/>
      <c r="V506" s="16" t="n"/>
      <c r="W506" s="16" t="n"/>
      <c r="X506" s="16" t="n"/>
      <c r="Y506" s="16" t="n"/>
      <c r="Z506" s="16" t="n"/>
      <c r="AA506" s="16" t="n"/>
    </row>
    <row r="507">
      <c r="A507" s="16" t="n"/>
      <c r="B507" s="16" t="n"/>
      <c r="C507" s="16" t="n"/>
      <c r="D507" s="16" t="n"/>
      <c r="E507" s="16" t="n"/>
      <c r="F507" s="16" t="n"/>
      <c r="G507" s="16" t="n"/>
      <c r="H507" s="16" t="n"/>
      <c r="I507" s="16" t="n"/>
      <c r="J507" s="16" t="n"/>
      <c r="K507" s="16" t="n"/>
      <c r="L507" s="16" t="n"/>
      <c r="M507" s="16" t="n"/>
      <c r="N507" s="16" t="n"/>
      <c r="O507" s="16" t="n"/>
      <c r="P507" s="16" t="n"/>
      <c r="Q507" s="16" t="n"/>
      <c r="R507" s="16" t="n"/>
      <c r="S507" s="16" t="n"/>
      <c r="T507" s="16" t="n"/>
      <c r="U507" s="16" t="n"/>
      <c r="V507" s="16" t="n"/>
      <c r="W507" s="16" t="n"/>
      <c r="X507" s="16" t="n"/>
      <c r="Y507" s="16" t="n"/>
      <c r="Z507" s="16" t="n"/>
      <c r="AA507" s="16" t="n"/>
    </row>
    <row r="508">
      <c r="A508" s="16" t="n"/>
      <c r="B508" s="16" t="n"/>
      <c r="C508" s="16" t="n"/>
      <c r="D508" s="16" t="n"/>
      <c r="E508" s="16" t="n"/>
      <c r="F508" s="16" t="n"/>
      <c r="G508" s="16" t="n"/>
      <c r="H508" s="16" t="n"/>
      <c r="I508" s="16" t="n"/>
      <c r="J508" s="16" t="n"/>
      <c r="K508" s="16" t="n"/>
      <c r="L508" s="16" t="n"/>
      <c r="M508" s="16" t="n"/>
      <c r="N508" s="16" t="n"/>
      <c r="O508" s="16" t="n"/>
      <c r="P508" s="16" t="n"/>
      <c r="Q508" s="16" t="n"/>
      <c r="R508" s="16" t="n"/>
      <c r="S508" s="16" t="n"/>
      <c r="T508" s="16" t="n"/>
      <c r="U508" s="16" t="n"/>
      <c r="V508" s="16" t="n"/>
      <c r="W508" s="16" t="n"/>
      <c r="X508" s="16" t="n"/>
      <c r="Y508" s="16" t="n"/>
      <c r="Z508" s="16" t="n"/>
      <c r="AA508" s="16" t="n"/>
    </row>
    <row r="509">
      <c r="A509" s="16" t="n"/>
      <c r="B509" s="16" t="n"/>
      <c r="C509" s="16" t="n"/>
      <c r="D509" s="16" t="n"/>
      <c r="E509" s="16" t="n"/>
      <c r="F509" s="16" t="n"/>
      <c r="G509" s="16" t="n"/>
      <c r="H509" s="16" t="n"/>
      <c r="I509" s="16" t="n"/>
      <c r="J509" s="16" t="n"/>
      <c r="K509" s="16" t="n"/>
      <c r="L509" s="16" t="n"/>
      <c r="M509" s="16" t="n"/>
      <c r="N509" s="16" t="n"/>
      <c r="O509" s="16" t="n"/>
      <c r="P509" s="16" t="n"/>
      <c r="Q509" s="16" t="n"/>
      <c r="R509" s="16" t="n"/>
      <c r="S509" s="16" t="n"/>
      <c r="T509" s="16" t="n"/>
      <c r="U509" s="16" t="n"/>
      <c r="V509" s="16" t="n"/>
      <c r="W509" s="16" t="n"/>
      <c r="X509" s="16" t="n"/>
      <c r="Y509" s="16" t="n"/>
      <c r="Z509" s="16" t="n"/>
      <c r="AA509" s="16" t="n"/>
    </row>
    <row r="510">
      <c r="A510" s="16" t="n"/>
      <c r="B510" s="16" t="n"/>
      <c r="C510" s="16" t="n"/>
      <c r="D510" s="16" t="n"/>
      <c r="E510" s="16" t="n"/>
      <c r="F510" s="16" t="n"/>
      <c r="G510" s="16" t="n"/>
      <c r="H510" s="16" t="n"/>
      <c r="I510" s="16" t="n"/>
      <c r="J510" s="16" t="n"/>
      <c r="K510" s="16" t="n"/>
      <c r="L510" s="16" t="n"/>
      <c r="M510" s="16" t="n"/>
      <c r="N510" s="16" t="n"/>
      <c r="O510" s="16" t="n"/>
      <c r="P510" s="16" t="n"/>
      <c r="Q510" s="16" t="n"/>
      <c r="R510" s="16" t="n"/>
      <c r="S510" s="16" t="n"/>
      <c r="T510" s="16" t="n"/>
      <c r="U510" s="16" t="n"/>
      <c r="V510" s="16" t="n"/>
      <c r="W510" s="16" t="n"/>
      <c r="X510" s="16" t="n"/>
      <c r="Y510" s="16" t="n"/>
      <c r="Z510" s="16" t="n"/>
      <c r="AA510" s="16" t="n"/>
    </row>
    <row r="511">
      <c r="A511" s="16" t="n"/>
      <c r="B511" s="16" t="n"/>
      <c r="C511" s="16" t="n"/>
      <c r="D511" s="16" t="n"/>
      <c r="E511" s="16" t="n"/>
      <c r="F511" s="16" t="n"/>
      <c r="G511" s="16" t="n"/>
      <c r="H511" s="16" t="n"/>
      <c r="I511" s="16" t="n"/>
      <c r="J511" s="16" t="n"/>
      <c r="K511" s="16" t="n"/>
      <c r="L511" s="16" t="n"/>
      <c r="M511" s="16" t="n"/>
      <c r="N511" s="16" t="n"/>
      <c r="O511" s="16" t="n"/>
      <c r="P511" s="16" t="n"/>
      <c r="Q511" s="16" t="n"/>
      <c r="R511" s="16" t="n"/>
      <c r="S511" s="16" t="n"/>
      <c r="T511" s="16" t="n"/>
      <c r="U511" s="16" t="n"/>
      <c r="V511" s="16" t="n"/>
      <c r="W511" s="16" t="n"/>
      <c r="X511" s="16" t="n"/>
      <c r="Y511" s="16" t="n"/>
      <c r="Z511" s="16" t="n"/>
      <c r="AA511" s="16" t="n"/>
    </row>
    <row r="512">
      <c r="A512" s="16" t="n"/>
      <c r="B512" s="16" t="n"/>
      <c r="C512" s="16" t="n"/>
      <c r="D512" s="16" t="n"/>
      <c r="E512" s="16" t="n"/>
      <c r="F512" s="16" t="n"/>
      <c r="G512" s="16" t="n"/>
      <c r="H512" s="16" t="n"/>
      <c r="I512" s="16" t="n"/>
      <c r="J512" s="16" t="n"/>
      <c r="K512" s="16" t="n"/>
      <c r="L512" s="16" t="n"/>
      <c r="M512" s="16" t="n"/>
      <c r="N512" s="16" t="n"/>
      <c r="O512" s="16" t="n"/>
      <c r="P512" s="16" t="n"/>
      <c r="Q512" s="16" t="n"/>
      <c r="R512" s="16" t="n"/>
      <c r="S512" s="16" t="n"/>
      <c r="T512" s="16" t="n"/>
      <c r="U512" s="16" t="n"/>
      <c r="V512" s="16" t="n"/>
      <c r="W512" s="16" t="n"/>
      <c r="X512" s="16" t="n"/>
      <c r="Y512" s="16" t="n"/>
      <c r="Z512" s="16" t="n"/>
      <c r="AA512" s="16" t="n"/>
    </row>
    <row r="513">
      <c r="A513" s="16" t="n"/>
      <c r="B513" s="16" t="n"/>
      <c r="C513" s="16" t="n"/>
      <c r="D513" s="16" t="n"/>
      <c r="E513" s="16" t="n"/>
      <c r="F513" s="16" t="n"/>
      <c r="G513" s="16" t="n"/>
      <c r="H513" s="16" t="n"/>
      <c r="I513" s="16" t="n"/>
      <c r="J513" s="16" t="n"/>
      <c r="K513" s="16" t="n"/>
      <c r="L513" s="16" t="n"/>
      <c r="M513" s="16" t="n"/>
      <c r="N513" s="16" t="n"/>
      <c r="O513" s="16" t="n"/>
      <c r="P513" s="16" t="n"/>
      <c r="Q513" s="16" t="n"/>
      <c r="R513" s="16" t="n"/>
      <c r="S513" s="16" t="n"/>
      <c r="T513" s="16" t="n"/>
      <c r="U513" s="16" t="n"/>
      <c r="V513" s="16" t="n"/>
      <c r="W513" s="16" t="n"/>
      <c r="X513" s="16" t="n"/>
      <c r="Y513" s="16" t="n"/>
      <c r="Z513" s="16" t="n"/>
      <c r="AA513" s="16" t="n"/>
    </row>
    <row r="514">
      <c r="A514" s="16" t="n"/>
      <c r="B514" s="16" t="n"/>
      <c r="C514" s="16" t="n"/>
      <c r="D514" s="16" t="n"/>
      <c r="E514" s="16" t="n"/>
      <c r="F514" s="16" t="n"/>
      <c r="G514" s="16" t="n"/>
      <c r="H514" s="16" t="n"/>
      <c r="I514" s="16" t="n"/>
      <c r="J514" s="16" t="n"/>
      <c r="K514" s="16" t="n"/>
      <c r="L514" s="16" t="n"/>
      <c r="M514" s="16" t="n"/>
      <c r="N514" s="16" t="n"/>
      <c r="O514" s="16" t="n"/>
      <c r="P514" s="16" t="n"/>
      <c r="Q514" s="16" t="n"/>
      <c r="R514" s="16" t="n"/>
      <c r="S514" s="16" t="n"/>
      <c r="T514" s="16" t="n"/>
      <c r="U514" s="16" t="n"/>
      <c r="V514" s="16" t="n"/>
      <c r="W514" s="16" t="n"/>
      <c r="X514" s="16" t="n"/>
      <c r="Y514" s="16" t="n"/>
      <c r="Z514" s="16" t="n"/>
      <c r="AA514" s="16" t="n"/>
    </row>
    <row r="515">
      <c r="A515" s="16" t="n"/>
      <c r="B515" s="16" t="n"/>
      <c r="C515" s="16" t="n"/>
      <c r="D515" s="16" t="n"/>
      <c r="E515" s="16" t="n"/>
      <c r="F515" s="16" t="n"/>
      <c r="G515" s="16" t="n"/>
      <c r="H515" s="16" t="n"/>
      <c r="I515" s="16" t="n"/>
      <c r="J515" s="16" t="n"/>
      <c r="K515" s="16" t="n"/>
      <c r="L515" s="16" t="n"/>
      <c r="M515" s="16" t="n"/>
      <c r="N515" s="16" t="n"/>
      <c r="O515" s="16" t="n"/>
      <c r="P515" s="16" t="n"/>
      <c r="Q515" s="16" t="n"/>
      <c r="R515" s="16" t="n"/>
      <c r="S515" s="16" t="n"/>
      <c r="T515" s="16" t="n"/>
      <c r="U515" s="16" t="n"/>
      <c r="V515" s="16" t="n"/>
      <c r="W515" s="16" t="n"/>
      <c r="X515" s="16" t="n"/>
      <c r="Y515" s="16" t="n"/>
      <c r="Z515" s="16" t="n"/>
      <c r="AA515" s="16" t="n"/>
    </row>
    <row r="516">
      <c r="A516" s="16" t="n"/>
      <c r="B516" s="16" t="n"/>
      <c r="C516" s="16" t="n"/>
      <c r="D516" s="16" t="n"/>
      <c r="E516" s="16" t="n"/>
      <c r="F516" s="16" t="n"/>
      <c r="G516" s="16" t="n"/>
      <c r="H516" s="16" t="n"/>
      <c r="I516" s="16" t="n"/>
      <c r="J516" s="16" t="n"/>
      <c r="K516" s="16" t="n"/>
      <c r="L516" s="16" t="n"/>
      <c r="M516" s="16" t="n"/>
      <c r="N516" s="16" t="n"/>
      <c r="O516" s="16" t="n"/>
      <c r="P516" s="16" t="n"/>
      <c r="Q516" s="16" t="n"/>
      <c r="R516" s="16" t="n"/>
      <c r="S516" s="16" t="n"/>
      <c r="T516" s="16" t="n"/>
      <c r="U516" s="16" t="n"/>
      <c r="V516" s="16" t="n"/>
      <c r="W516" s="16" t="n"/>
      <c r="X516" s="16" t="n"/>
      <c r="Y516" s="16" t="n"/>
      <c r="Z516" s="16" t="n"/>
      <c r="AA516" s="16" t="n"/>
    </row>
    <row r="517">
      <c r="A517" s="16" t="n"/>
      <c r="B517" s="16" t="n"/>
      <c r="C517" s="16" t="n"/>
      <c r="D517" s="16" t="n"/>
      <c r="E517" s="16" t="n"/>
      <c r="F517" s="16" t="n"/>
      <c r="G517" s="16" t="n"/>
      <c r="H517" s="16" t="n"/>
      <c r="I517" s="16" t="n"/>
      <c r="J517" s="16" t="n"/>
      <c r="K517" s="16" t="n"/>
      <c r="L517" s="16" t="n"/>
      <c r="M517" s="16" t="n"/>
      <c r="N517" s="16" t="n"/>
      <c r="O517" s="16" t="n"/>
      <c r="P517" s="16" t="n"/>
      <c r="Q517" s="16" t="n"/>
      <c r="R517" s="16" t="n"/>
      <c r="S517" s="16" t="n"/>
      <c r="T517" s="16" t="n"/>
      <c r="U517" s="16" t="n"/>
      <c r="V517" s="16" t="n"/>
      <c r="W517" s="16" t="n"/>
      <c r="X517" s="16" t="n"/>
      <c r="Y517" s="16" t="n"/>
      <c r="Z517" s="16" t="n"/>
      <c r="AA517" s="16" t="n"/>
    </row>
    <row r="518">
      <c r="A518" s="16" t="n"/>
      <c r="B518" s="16" t="n"/>
      <c r="C518" s="16" t="n"/>
      <c r="D518" s="16" t="n"/>
      <c r="E518" s="16" t="n"/>
      <c r="F518" s="16" t="n"/>
      <c r="G518" s="16" t="n"/>
      <c r="H518" s="16" t="n"/>
      <c r="I518" s="16" t="n"/>
      <c r="J518" s="16" t="n"/>
      <c r="K518" s="16" t="n"/>
      <c r="L518" s="16" t="n"/>
      <c r="M518" s="16" t="n"/>
      <c r="N518" s="16" t="n"/>
      <c r="O518" s="16" t="n"/>
      <c r="P518" s="16" t="n"/>
      <c r="Q518" s="16" t="n"/>
      <c r="R518" s="16" t="n"/>
      <c r="S518" s="16" t="n"/>
      <c r="T518" s="16" t="n"/>
      <c r="U518" s="16" t="n"/>
      <c r="V518" s="16" t="n"/>
      <c r="W518" s="16" t="n"/>
      <c r="X518" s="16" t="n"/>
      <c r="Y518" s="16" t="n"/>
      <c r="Z518" s="16" t="n"/>
      <c r="AA518" s="16" t="n"/>
    </row>
    <row r="519">
      <c r="A519" s="16" t="n"/>
      <c r="B519" s="16" t="n"/>
      <c r="C519" s="16" t="n"/>
      <c r="D519" s="16" t="n"/>
      <c r="E519" s="16" t="n"/>
      <c r="F519" s="16" t="n"/>
      <c r="G519" s="16" t="n"/>
      <c r="H519" s="16" t="n"/>
      <c r="I519" s="16" t="n"/>
      <c r="J519" s="16" t="n"/>
      <c r="K519" s="16" t="n"/>
      <c r="L519" s="16" t="n"/>
      <c r="M519" s="16" t="n"/>
      <c r="N519" s="16" t="n"/>
      <c r="O519" s="16" t="n"/>
      <c r="P519" s="16" t="n"/>
      <c r="Q519" s="16" t="n"/>
      <c r="R519" s="16" t="n"/>
      <c r="S519" s="16" t="n"/>
      <c r="T519" s="16" t="n"/>
      <c r="U519" s="16" t="n"/>
      <c r="V519" s="16" t="n"/>
      <c r="W519" s="16" t="n"/>
      <c r="X519" s="16" t="n"/>
      <c r="Y519" s="16" t="n"/>
      <c r="Z519" s="16" t="n"/>
      <c r="AA519" s="16" t="n"/>
    </row>
    <row r="520">
      <c r="A520" s="16" t="n"/>
      <c r="B520" s="16" t="n"/>
      <c r="C520" s="16" t="n"/>
      <c r="D520" s="16" t="n"/>
      <c r="E520" s="16" t="n"/>
      <c r="F520" s="16" t="n"/>
      <c r="G520" s="16" t="n"/>
      <c r="H520" s="16" t="n"/>
      <c r="I520" s="16" t="n"/>
      <c r="J520" s="16" t="n"/>
      <c r="K520" s="16" t="n"/>
      <c r="L520" s="16" t="n"/>
      <c r="M520" s="16" t="n"/>
      <c r="N520" s="16" t="n"/>
      <c r="O520" s="16" t="n"/>
      <c r="P520" s="16" t="n"/>
      <c r="Q520" s="16" t="n"/>
      <c r="R520" s="16" t="n"/>
      <c r="S520" s="16" t="n"/>
      <c r="T520" s="16" t="n"/>
      <c r="U520" s="16" t="n"/>
      <c r="V520" s="16" t="n"/>
      <c r="W520" s="16" t="n"/>
      <c r="X520" s="16" t="n"/>
      <c r="Y520" s="16" t="n"/>
      <c r="Z520" s="16" t="n"/>
      <c r="AA520" s="16" t="n"/>
    </row>
    <row r="521">
      <c r="A521" s="16" t="n"/>
      <c r="B521" s="16" t="n"/>
      <c r="C521" s="16" t="n"/>
      <c r="D521" s="16" t="n"/>
      <c r="E521" s="16" t="n"/>
      <c r="F521" s="16" t="n"/>
      <c r="G521" s="16" t="n"/>
      <c r="H521" s="16" t="n"/>
      <c r="I521" s="16" t="n"/>
      <c r="J521" s="16" t="n"/>
      <c r="K521" s="16" t="n"/>
      <c r="L521" s="16" t="n"/>
      <c r="M521" s="16" t="n"/>
      <c r="N521" s="16" t="n"/>
      <c r="O521" s="16" t="n"/>
      <c r="P521" s="16" t="n"/>
      <c r="Q521" s="16" t="n"/>
      <c r="R521" s="16" t="n"/>
      <c r="S521" s="16" t="n"/>
      <c r="T521" s="16" t="n"/>
      <c r="U521" s="16" t="n"/>
      <c r="V521" s="16" t="n"/>
      <c r="W521" s="16" t="n"/>
      <c r="X521" s="16" t="n"/>
      <c r="Y521" s="16" t="n"/>
      <c r="Z521" s="16" t="n"/>
      <c r="AA521" s="16" t="n"/>
    </row>
    <row r="522">
      <c r="A522" s="16" t="n"/>
      <c r="B522" s="16" t="n"/>
      <c r="C522" s="16" t="n"/>
      <c r="D522" s="16" t="n"/>
      <c r="E522" s="16" t="n"/>
      <c r="F522" s="16" t="n"/>
      <c r="G522" s="16" t="n"/>
      <c r="H522" s="16" t="n"/>
      <c r="I522" s="16" t="n"/>
      <c r="J522" s="16" t="n"/>
      <c r="K522" s="16" t="n"/>
      <c r="L522" s="16" t="n"/>
      <c r="M522" s="16" t="n"/>
      <c r="N522" s="16" t="n"/>
      <c r="O522" s="16" t="n"/>
      <c r="P522" s="16" t="n"/>
      <c r="Q522" s="16" t="n"/>
      <c r="R522" s="16" t="n"/>
      <c r="S522" s="16" t="n"/>
      <c r="T522" s="16" t="n"/>
      <c r="U522" s="16" t="n"/>
      <c r="V522" s="16" t="n"/>
      <c r="W522" s="16" t="n"/>
      <c r="X522" s="16" t="n"/>
      <c r="Y522" s="16" t="n"/>
      <c r="Z522" s="16" t="n"/>
      <c r="AA522" s="16" t="n"/>
    </row>
    <row r="523">
      <c r="A523" s="16" t="n"/>
      <c r="B523" s="16" t="n"/>
      <c r="C523" s="16" t="n"/>
      <c r="D523" s="16" t="n"/>
      <c r="E523" s="16" t="n"/>
      <c r="F523" s="16" t="n"/>
      <c r="G523" s="16" t="n"/>
      <c r="H523" s="16" t="n"/>
      <c r="I523" s="16" t="n"/>
      <c r="J523" s="16" t="n"/>
      <c r="K523" s="16" t="n"/>
      <c r="L523" s="16" t="n"/>
      <c r="M523" s="16" t="n"/>
      <c r="N523" s="16" t="n"/>
      <c r="O523" s="16" t="n"/>
      <c r="P523" s="16" t="n"/>
      <c r="Q523" s="16" t="n"/>
      <c r="R523" s="16" t="n"/>
      <c r="S523" s="16" t="n"/>
      <c r="T523" s="16" t="n"/>
      <c r="U523" s="16" t="n"/>
      <c r="V523" s="16" t="n"/>
      <c r="W523" s="16" t="n"/>
      <c r="X523" s="16" t="n"/>
      <c r="Y523" s="16" t="n"/>
      <c r="Z523" s="16" t="n"/>
      <c r="AA523" s="16" t="n"/>
    </row>
    <row r="524">
      <c r="A524" s="16" t="n"/>
      <c r="B524" s="16" t="n"/>
      <c r="C524" s="16" t="n"/>
      <c r="D524" s="16" t="n"/>
      <c r="E524" s="16" t="n"/>
      <c r="F524" s="16" t="n"/>
      <c r="G524" s="16" t="n"/>
      <c r="H524" s="16" t="n"/>
      <c r="I524" s="16" t="n"/>
      <c r="J524" s="16" t="n"/>
      <c r="K524" s="16" t="n"/>
      <c r="L524" s="16" t="n"/>
      <c r="M524" s="16" t="n"/>
      <c r="N524" s="16" t="n"/>
      <c r="O524" s="16" t="n"/>
      <c r="P524" s="16" t="n"/>
      <c r="Q524" s="16" t="n"/>
      <c r="R524" s="16" t="n"/>
      <c r="S524" s="16" t="n"/>
      <c r="T524" s="16" t="n"/>
      <c r="U524" s="16" t="n"/>
      <c r="V524" s="16" t="n"/>
      <c r="W524" s="16" t="n"/>
      <c r="X524" s="16" t="n"/>
      <c r="Y524" s="16" t="n"/>
      <c r="Z524" s="16" t="n"/>
      <c r="AA524" s="16" t="n"/>
    </row>
    <row r="525">
      <c r="A525" s="16" t="n"/>
      <c r="B525" s="16" t="n"/>
      <c r="C525" s="16" t="n"/>
      <c r="D525" s="16" t="n"/>
      <c r="E525" s="16" t="n"/>
      <c r="F525" s="16" t="n"/>
      <c r="G525" s="16" t="n"/>
      <c r="H525" s="16" t="n"/>
      <c r="I525" s="16" t="n"/>
      <c r="J525" s="16" t="n"/>
      <c r="K525" s="16" t="n"/>
      <c r="L525" s="16" t="n"/>
      <c r="M525" s="16" t="n"/>
      <c r="N525" s="16" t="n"/>
      <c r="O525" s="16" t="n"/>
      <c r="P525" s="16" t="n"/>
      <c r="Q525" s="16" t="n"/>
      <c r="R525" s="16" t="n"/>
      <c r="S525" s="16" t="n"/>
      <c r="T525" s="16" t="n"/>
      <c r="U525" s="16" t="n"/>
      <c r="V525" s="16" t="n"/>
      <c r="W525" s="16" t="n"/>
      <c r="X525" s="16" t="n"/>
      <c r="Y525" s="16" t="n"/>
      <c r="Z525" s="16" t="n"/>
      <c r="AA525" s="16" t="n"/>
    </row>
    <row r="526">
      <c r="A526" s="16" t="n"/>
      <c r="B526" s="16" t="n"/>
      <c r="C526" s="16" t="n"/>
      <c r="D526" s="16" t="n"/>
      <c r="E526" s="16" t="n"/>
      <c r="F526" s="16" t="n"/>
      <c r="G526" s="16" t="n"/>
      <c r="H526" s="16" t="n"/>
      <c r="I526" s="16" t="n"/>
      <c r="J526" s="16" t="n"/>
      <c r="K526" s="16" t="n"/>
      <c r="L526" s="16" t="n"/>
      <c r="M526" s="16" t="n"/>
      <c r="N526" s="16" t="n"/>
      <c r="O526" s="16" t="n"/>
      <c r="P526" s="16" t="n"/>
      <c r="Q526" s="16" t="n"/>
      <c r="R526" s="16" t="n"/>
      <c r="S526" s="16" t="n"/>
      <c r="T526" s="16" t="n"/>
      <c r="U526" s="16" t="n"/>
      <c r="V526" s="16" t="n"/>
      <c r="W526" s="16" t="n"/>
      <c r="X526" s="16" t="n"/>
      <c r="Y526" s="16" t="n"/>
      <c r="Z526" s="16" t="n"/>
      <c r="AA526" s="16" t="n"/>
    </row>
    <row r="527">
      <c r="A527" s="16" t="n"/>
      <c r="B527" s="16" t="n"/>
      <c r="C527" s="16" t="n"/>
      <c r="D527" s="16" t="n"/>
      <c r="E527" s="16" t="n"/>
      <c r="F527" s="16" t="n"/>
      <c r="G527" s="16" t="n"/>
      <c r="H527" s="16" t="n"/>
      <c r="I527" s="16" t="n"/>
      <c r="J527" s="16" t="n"/>
      <c r="K527" s="16" t="n"/>
      <c r="L527" s="16" t="n"/>
      <c r="M527" s="16" t="n"/>
      <c r="N527" s="16" t="n"/>
      <c r="O527" s="16" t="n"/>
      <c r="P527" s="16" t="n"/>
      <c r="Q527" s="16" t="n"/>
      <c r="R527" s="16" t="n"/>
      <c r="S527" s="16" t="n"/>
      <c r="T527" s="16" t="n"/>
      <c r="U527" s="16" t="n"/>
      <c r="V527" s="16" t="n"/>
      <c r="W527" s="16" t="n"/>
      <c r="X527" s="16" t="n"/>
      <c r="Y527" s="16" t="n"/>
      <c r="Z527" s="16" t="n"/>
      <c r="AA527" s="16" t="n"/>
    </row>
    <row r="528">
      <c r="A528" s="16" t="n"/>
      <c r="B528" s="16" t="n"/>
      <c r="C528" s="16" t="n"/>
      <c r="D528" s="16" t="n"/>
      <c r="E528" s="16" t="n"/>
      <c r="F528" s="16" t="n"/>
      <c r="G528" s="16" t="n"/>
      <c r="H528" s="16" t="n"/>
      <c r="I528" s="16" t="n"/>
      <c r="J528" s="16" t="n"/>
      <c r="K528" s="16" t="n"/>
      <c r="L528" s="16" t="n"/>
      <c r="M528" s="16" t="n"/>
      <c r="N528" s="16" t="n"/>
      <c r="O528" s="16" t="n"/>
      <c r="P528" s="16" t="n"/>
      <c r="Q528" s="16" t="n"/>
      <c r="R528" s="16" t="n"/>
      <c r="S528" s="16" t="n"/>
      <c r="T528" s="16" t="n"/>
      <c r="U528" s="16" t="n"/>
      <c r="V528" s="16" t="n"/>
      <c r="W528" s="16" t="n"/>
      <c r="X528" s="16" t="n"/>
      <c r="Y528" s="16" t="n"/>
      <c r="Z528" s="16" t="n"/>
      <c r="AA528" s="16" t="n"/>
    </row>
    <row r="529">
      <c r="A529" s="16" t="n"/>
      <c r="B529" s="16" t="n"/>
      <c r="C529" s="16" t="n"/>
      <c r="D529" s="16" t="n"/>
      <c r="E529" s="16" t="n"/>
      <c r="F529" s="16" t="n"/>
      <c r="G529" s="16" t="n"/>
      <c r="H529" s="16" t="n"/>
      <c r="I529" s="16" t="n"/>
      <c r="J529" s="16" t="n"/>
      <c r="K529" s="16" t="n"/>
      <c r="L529" s="16" t="n"/>
      <c r="M529" s="16" t="n"/>
      <c r="N529" s="16" t="n"/>
      <c r="O529" s="16" t="n"/>
      <c r="P529" s="16" t="n"/>
      <c r="Q529" s="16" t="n"/>
      <c r="R529" s="16" t="n"/>
      <c r="S529" s="16" t="n"/>
      <c r="T529" s="16" t="n"/>
      <c r="U529" s="16" t="n"/>
      <c r="V529" s="16" t="n"/>
      <c r="W529" s="16" t="n"/>
      <c r="X529" s="16" t="n"/>
      <c r="Y529" s="16" t="n"/>
      <c r="Z529" s="16" t="n"/>
      <c r="AA529" s="16" t="n"/>
    </row>
    <row r="530">
      <c r="A530" s="16" t="n"/>
      <c r="B530" s="16" t="n"/>
      <c r="C530" s="16" t="n"/>
      <c r="D530" s="16" t="n"/>
      <c r="E530" s="16" t="n"/>
      <c r="F530" s="16" t="n"/>
      <c r="G530" s="16" t="n"/>
      <c r="H530" s="16" t="n"/>
      <c r="I530" s="16" t="n"/>
      <c r="J530" s="16" t="n"/>
      <c r="K530" s="16" t="n"/>
      <c r="L530" s="16" t="n"/>
      <c r="M530" s="16" t="n"/>
      <c r="N530" s="16" t="n"/>
      <c r="O530" s="16" t="n"/>
      <c r="P530" s="16" t="n"/>
      <c r="Q530" s="16" t="n"/>
      <c r="R530" s="16" t="n"/>
      <c r="S530" s="16" t="n"/>
      <c r="T530" s="16" t="n"/>
      <c r="U530" s="16" t="n"/>
      <c r="V530" s="16" t="n"/>
      <c r="W530" s="16" t="n"/>
      <c r="X530" s="16" t="n"/>
      <c r="Y530" s="16" t="n"/>
      <c r="Z530" s="16" t="n"/>
      <c r="AA530" s="16" t="n"/>
    </row>
    <row r="531">
      <c r="A531" s="16" t="n"/>
      <c r="B531" s="16" t="n"/>
      <c r="C531" s="16" t="n"/>
      <c r="D531" s="16" t="n"/>
      <c r="E531" s="16" t="n"/>
      <c r="F531" s="16" t="n"/>
      <c r="G531" s="16" t="n"/>
      <c r="H531" s="16" t="n"/>
      <c r="I531" s="16" t="n"/>
      <c r="J531" s="16" t="n"/>
      <c r="K531" s="16" t="n"/>
      <c r="L531" s="16" t="n"/>
      <c r="M531" s="16" t="n"/>
      <c r="N531" s="16" t="n"/>
      <c r="O531" s="16" t="n"/>
      <c r="P531" s="16" t="n"/>
      <c r="Q531" s="16" t="n"/>
      <c r="R531" s="16" t="n"/>
      <c r="S531" s="16" t="n"/>
      <c r="T531" s="16" t="n"/>
      <c r="U531" s="16" t="n"/>
      <c r="V531" s="16" t="n"/>
      <c r="W531" s="16" t="n"/>
      <c r="X531" s="16" t="n"/>
      <c r="Y531" s="16" t="n"/>
      <c r="Z531" s="16" t="n"/>
      <c r="AA531" s="16" t="n"/>
    </row>
    <row r="532">
      <c r="A532" s="16" t="n"/>
      <c r="B532" s="16" t="n"/>
      <c r="C532" s="16" t="n"/>
      <c r="D532" s="16" t="n"/>
      <c r="E532" s="16" t="n"/>
      <c r="F532" s="16" t="n"/>
      <c r="G532" s="16" t="n"/>
      <c r="H532" s="16" t="n"/>
      <c r="I532" s="16" t="n"/>
      <c r="J532" s="16" t="n"/>
      <c r="K532" s="16" t="n"/>
      <c r="L532" s="16" t="n"/>
      <c r="M532" s="16" t="n"/>
      <c r="N532" s="16" t="n"/>
      <c r="O532" s="16" t="n"/>
      <c r="P532" s="16" t="n"/>
      <c r="Q532" s="16" t="n"/>
      <c r="R532" s="16" t="n"/>
      <c r="S532" s="16" t="n"/>
      <c r="T532" s="16" t="n"/>
      <c r="U532" s="16" t="n"/>
      <c r="V532" s="16" t="n"/>
      <c r="W532" s="16" t="n"/>
      <c r="X532" s="16" t="n"/>
      <c r="Y532" s="16" t="n"/>
      <c r="Z532" s="16" t="n"/>
      <c r="AA532" s="16" t="n"/>
    </row>
    <row r="533">
      <c r="A533" s="16" t="n"/>
      <c r="B533" s="16" t="n"/>
      <c r="C533" s="16" t="n"/>
      <c r="D533" s="16" t="n"/>
      <c r="E533" s="16" t="n"/>
      <c r="F533" s="16" t="n"/>
      <c r="G533" s="16" t="n"/>
      <c r="H533" s="16" t="n"/>
      <c r="I533" s="16" t="n"/>
      <c r="J533" s="16" t="n"/>
      <c r="K533" s="16" t="n"/>
      <c r="L533" s="16" t="n"/>
      <c r="M533" s="16" t="n"/>
      <c r="N533" s="16" t="n"/>
      <c r="O533" s="16" t="n"/>
      <c r="P533" s="16" t="n"/>
      <c r="Q533" s="16" t="n"/>
      <c r="R533" s="16" t="n"/>
      <c r="S533" s="16" t="n"/>
      <c r="T533" s="16" t="n"/>
      <c r="U533" s="16" t="n"/>
      <c r="V533" s="16" t="n"/>
      <c r="W533" s="16" t="n"/>
      <c r="X533" s="16" t="n"/>
      <c r="Y533" s="16" t="n"/>
      <c r="Z533" s="16" t="n"/>
      <c r="AA533" s="16" t="n"/>
    </row>
    <row r="534">
      <c r="A534" s="16" t="n"/>
      <c r="B534" s="16" t="n"/>
      <c r="C534" s="16" t="n"/>
      <c r="D534" s="16" t="n"/>
      <c r="E534" s="16" t="n"/>
      <c r="F534" s="16" t="n"/>
      <c r="G534" s="16" t="n"/>
      <c r="H534" s="16" t="n"/>
      <c r="I534" s="16" t="n"/>
      <c r="J534" s="16" t="n"/>
      <c r="K534" s="16" t="n"/>
      <c r="L534" s="16" t="n"/>
      <c r="M534" s="16" t="n"/>
      <c r="N534" s="16" t="n"/>
      <c r="O534" s="16" t="n"/>
      <c r="P534" s="16" t="n"/>
      <c r="Q534" s="16" t="n"/>
      <c r="R534" s="16" t="n"/>
      <c r="S534" s="16" t="n"/>
      <c r="T534" s="16" t="n"/>
      <c r="U534" s="16" t="n"/>
      <c r="V534" s="16" t="n"/>
      <c r="W534" s="16" t="n"/>
      <c r="X534" s="16" t="n"/>
      <c r="Y534" s="16" t="n"/>
      <c r="Z534" s="16" t="n"/>
      <c r="AA534" s="16" t="n"/>
    </row>
    <row r="535">
      <c r="A535" s="16" t="n"/>
      <c r="B535" s="16" t="n"/>
      <c r="C535" s="16" t="n"/>
      <c r="D535" s="16" t="n"/>
      <c r="E535" s="16" t="n"/>
      <c r="F535" s="16" t="n"/>
      <c r="G535" s="16" t="n"/>
      <c r="H535" s="16" t="n"/>
      <c r="I535" s="16" t="n"/>
      <c r="J535" s="16" t="n"/>
      <c r="K535" s="16" t="n"/>
      <c r="L535" s="16" t="n"/>
      <c r="M535" s="16" t="n"/>
      <c r="N535" s="16" t="n"/>
      <c r="O535" s="16" t="n"/>
      <c r="P535" s="16" t="n"/>
      <c r="Q535" s="16" t="n"/>
      <c r="R535" s="16" t="n"/>
      <c r="S535" s="16" t="n"/>
      <c r="T535" s="16" t="n"/>
      <c r="U535" s="16" t="n"/>
      <c r="V535" s="16" t="n"/>
      <c r="W535" s="16" t="n"/>
      <c r="X535" s="16" t="n"/>
      <c r="Y535" s="16" t="n"/>
      <c r="Z535" s="16" t="n"/>
      <c r="AA535" s="16" t="n"/>
    </row>
    <row r="536">
      <c r="A536" s="16" t="n"/>
      <c r="B536" s="16" t="n"/>
      <c r="C536" s="16" t="n"/>
      <c r="D536" s="16" t="n"/>
      <c r="E536" s="16" t="n"/>
      <c r="F536" s="16" t="n"/>
      <c r="G536" s="16" t="n"/>
      <c r="H536" s="16" t="n"/>
      <c r="I536" s="16" t="n"/>
      <c r="J536" s="16" t="n"/>
      <c r="K536" s="16" t="n"/>
      <c r="L536" s="16" t="n"/>
      <c r="M536" s="16" t="n"/>
      <c r="N536" s="16" t="n"/>
      <c r="O536" s="16" t="n"/>
      <c r="P536" s="16" t="n"/>
      <c r="Q536" s="16" t="n"/>
      <c r="R536" s="16" t="n"/>
      <c r="S536" s="16" t="n"/>
      <c r="T536" s="16" t="n"/>
      <c r="U536" s="16" t="n"/>
      <c r="V536" s="16" t="n"/>
      <c r="W536" s="16" t="n"/>
      <c r="X536" s="16" t="n"/>
      <c r="Y536" s="16" t="n"/>
      <c r="Z536" s="16" t="n"/>
      <c r="AA536" s="16" t="n"/>
    </row>
    <row r="537">
      <c r="A537" s="16" t="n"/>
      <c r="B537" s="16" t="n"/>
      <c r="C537" s="16" t="n"/>
      <c r="D537" s="16" t="n"/>
      <c r="E537" s="16" t="n"/>
      <c r="F537" s="16" t="n"/>
      <c r="G537" s="16" t="n"/>
      <c r="H537" s="16" t="n"/>
      <c r="I537" s="16" t="n"/>
      <c r="J537" s="16" t="n"/>
      <c r="K537" s="16" t="n"/>
      <c r="L537" s="16" t="n"/>
      <c r="M537" s="16" t="n"/>
      <c r="N537" s="16" t="n"/>
      <c r="O537" s="16" t="n"/>
      <c r="P537" s="16" t="n"/>
      <c r="Q537" s="16" t="n"/>
      <c r="R537" s="16" t="n"/>
      <c r="S537" s="16" t="n"/>
      <c r="T537" s="16" t="n"/>
      <c r="U537" s="16" t="n"/>
      <c r="V537" s="16" t="n"/>
      <c r="W537" s="16" t="n"/>
      <c r="X537" s="16" t="n"/>
      <c r="Y537" s="16" t="n"/>
      <c r="Z537" s="16" t="n"/>
      <c r="AA537" s="16" t="n"/>
    </row>
    <row r="538">
      <c r="A538" s="16" t="n"/>
      <c r="B538" s="16" t="n"/>
      <c r="C538" s="16" t="n"/>
      <c r="D538" s="16" t="n"/>
      <c r="E538" s="16" t="n"/>
      <c r="F538" s="16" t="n"/>
      <c r="G538" s="16" t="n"/>
      <c r="H538" s="16" t="n"/>
      <c r="I538" s="16" t="n"/>
      <c r="J538" s="16" t="n"/>
      <c r="K538" s="16" t="n"/>
      <c r="L538" s="16" t="n"/>
      <c r="M538" s="16" t="n"/>
      <c r="N538" s="16" t="n"/>
      <c r="O538" s="16" t="n"/>
      <c r="P538" s="16" t="n"/>
      <c r="Q538" s="16" t="n"/>
      <c r="R538" s="16" t="n"/>
      <c r="S538" s="16" t="n"/>
      <c r="T538" s="16" t="n"/>
      <c r="U538" s="16" t="n"/>
      <c r="V538" s="16" t="n"/>
      <c r="W538" s="16" t="n"/>
      <c r="X538" s="16" t="n"/>
      <c r="Y538" s="16" t="n"/>
      <c r="Z538" s="16" t="n"/>
      <c r="AA538" s="16" t="n"/>
    </row>
    <row r="539">
      <c r="A539" s="16" t="n"/>
      <c r="B539" s="16" t="n"/>
      <c r="C539" s="16" t="n"/>
      <c r="D539" s="16" t="n"/>
      <c r="E539" s="16" t="n"/>
      <c r="F539" s="16" t="n"/>
      <c r="G539" s="16" t="n"/>
      <c r="H539" s="16" t="n"/>
      <c r="I539" s="16" t="n"/>
      <c r="J539" s="16" t="n"/>
      <c r="K539" s="16" t="n"/>
      <c r="L539" s="16" t="n"/>
      <c r="M539" s="16" t="n"/>
      <c r="N539" s="16" t="n"/>
      <c r="O539" s="16" t="n"/>
      <c r="P539" s="16" t="n"/>
      <c r="Q539" s="16" t="n"/>
      <c r="R539" s="16" t="n"/>
      <c r="S539" s="16" t="n"/>
      <c r="T539" s="16" t="n"/>
      <c r="U539" s="16" t="n"/>
      <c r="V539" s="16" t="n"/>
      <c r="W539" s="16" t="n"/>
      <c r="X539" s="16" t="n"/>
      <c r="Y539" s="16" t="n"/>
      <c r="Z539" s="16" t="n"/>
      <c r="AA539" s="16" t="n"/>
    </row>
    <row r="540">
      <c r="A540" s="16" t="n"/>
      <c r="B540" s="16" t="n"/>
      <c r="C540" s="16" t="n"/>
      <c r="D540" s="16" t="n"/>
      <c r="E540" s="16" t="n"/>
      <c r="F540" s="16" t="n"/>
      <c r="G540" s="16" t="n"/>
      <c r="H540" s="16" t="n"/>
      <c r="I540" s="16" t="n"/>
      <c r="J540" s="16" t="n"/>
      <c r="K540" s="16" t="n"/>
      <c r="L540" s="16" t="n"/>
      <c r="M540" s="16" t="n"/>
      <c r="N540" s="16" t="n"/>
      <c r="O540" s="16" t="n"/>
      <c r="P540" s="16" t="n"/>
      <c r="Q540" s="16" t="n"/>
      <c r="R540" s="16" t="n"/>
      <c r="S540" s="16" t="n"/>
      <c r="T540" s="16" t="n"/>
      <c r="U540" s="16" t="n"/>
      <c r="V540" s="16" t="n"/>
      <c r="W540" s="16" t="n"/>
      <c r="X540" s="16" t="n"/>
      <c r="Y540" s="16" t="n"/>
      <c r="Z540" s="16" t="n"/>
      <c r="AA540" s="16" t="n"/>
    </row>
    <row r="541">
      <c r="A541" s="16" t="n"/>
      <c r="B541" s="16" t="n"/>
      <c r="C541" s="16" t="n"/>
      <c r="D541" s="16" t="n"/>
      <c r="E541" s="16" t="n"/>
      <c r="F541" s="16" t="n"/>
      <c r="G541" s="16" t="n"/>
      <c r="H541" s="16" t="n"/>
      <c r="I541" s="16" t="n"/>
      <c r="J541" s="16" t="n"/>
      <c r="K541" s="16" t="n"/>
      <c r="L541" s="16" t="n"/>
      <c r="M541" s="16" t="n"/>
      <c r="N541" s="16" t="n"/>
      <c r="O541" s="16" t="n"/>
      <c r="P541" s="16" t="n"/>
      <c r="Q541" s="16" t="n"/>
      <c r="R541" s="16" t="n"/>
      <c r="S541" s="16" t="n"/>
      <c r="T541" s="16" t="n"/>
      <c r="U541" s="16" t="n"/>
      <c r="V541" s="16" t="n"/>
      <c r="W541" s="16" t="n"/>
      <c r="X541" s="16" t="n"/>
      <c r="Y541" s="16" t="n"/>
      <c r="Z541" s="16" t="n"/>
      <c r="AA541" s="16" t="n"/>
    </row>
    <row r="542">
      <c r="A542" s="16" t="n"/>
      <c r="B542" s="16" t="n"/>
      <c r="C542" s="16" t="n"/>
      <c r="D542" s="16" t="n"/>
      <c r="E542" s="16" t="n"/>
      <c r="F542" s="16" t="n"/>
      <c r="G542" s="16" t="n"/>
      <c r="H542" s="16" t="n"/>
      <c r="I542" s="16" t="n"/>
      <c r="J542" s="16" t="n"/>
      <c r="K542" s="16" t="n"/>
      <c r="L542" s="16" t="n"/>
      <c r="M542" s="16" t="n"/>
      <c r="N542" s="16" t="n"/>
      <c r="O542" s="16" t="n"/>
      <c r="P542" s="16" t="n"/>
      <c r="Q542" s="16" t="n"/>
      <c r="R542" s="16" t="n"/>
      <c r="S542" s="16" t="n"/>
      <c r="T542" s="16" t="n"/>
      <c r="U542" s="16" t="n"/>
      <c r="V542" s="16" t="n"/>
      <c r="W542" s="16" t="n"/>
      <c r="X542" s="16" t="n"/>
      <c r="Y542" s="16" t="n"/>
      <c r="Z542" s="16" t="n"/>
      <c r="AA542" s="16" t="n"/>
    </row>
    <row r="543">
      <c r="A543" s="16" t="n"/>
      <c r="B543" s="16" t="n"/>
      <c r="C543" s="16" t="n"/>
      <c r="D543" s="16" t="n"/>
      <c r="E543" s="16" t="n"/>
      <c r="F543" s="16" t="n"/>
      <c r="G543" s="16" t="n"/>
      <c r="H543" s="16" t="n"/>
      <c r="I543" s="16" t="n"/>
      <c r="J543" s="16" t="n"/>
      <c r="K543" s="16" t="n"/>
      <c r="L543" s="16" t="n"/>
      <c r="M543" s="16" t="n"/>
      <c r="N543" s="16" t="n"/>
      <c r="O543" s="16" t="n"/>
      <c r="P543" s="16" t="n"/>
      <c r="Q543" s="16" t="n"/>
      <c r="R543" s="16" t="n"/>
      <c r="S543" s="16" t="n"/>
      <c r="T543" s="16" t="n"/>
      <c r="U543" s="16" t="n"/>
      <c r="V543" s="16" t="n"/>
      <c r="W543" s="16" t="n"/>
      <c r="X543" s="16" t="n"/>
      <c r="Y543" s="16" t="n"/>
      <c r="Z543" s="16" t="n"/>
      <c r="AA543" s="16" t="n"/>
    </row>
    <row r="544">
      <c r="A544" s="16" t="n"/>
      <c r="B544" s="16" t="n"/>
      <c r="C544" s="16" t="n"/>
      <c r="D544" s="16" t="n"/>
      <c r="E544" s="16" t="n"/>
      <c r="F544" s="16" t="n"/>
      <c r="G544" s="16" t="n"/>
      <c r="H544" s="16" t="n"/>
      <c r="I544" s="16" t="n"/>
      <c r="J544" s="16" t="n"/>
      <c r="K544" s="16" t="n"/>
      <c r="L544" s="16" t="n"/>
      <c r="M544" s="16" t="n"/>
      <c r="N544" s="16" t="n"/>
      <c r="O544" s="16" t="n"/>
      <c r="P544" s="16" t="n"/>
      <c r="Q544" s="16" t="n"/>
      <c r="R544" s="16" t="n"/>
      <c r="S544" s="16" t="n"/>
      <c r="T544" s="16" t="n"/>
      <c r="U544" s="16" t="n"/>
      <c r="V544" s="16" t="n"/>
      <c r="W544" s="16" t="n"/>
      <c r="X544" s="16" t="n"/>
      <c r="Y544" s="16" t="n"/>
      <c r="Z544" s="16" t="n"/>
      <c r="AA544" s="16" t="n"/>
    </row>
    <row r="545">
      <c r="A545" s="16" t="n"/>
      <c r="B545" s="16" t="n"/>
      <c r="C545" s="16" t="n"/>
      <c r="D545" s="16" t="n"/>
      <c r="E545" s="16" t="n"/>
      <c r="F545" s="16" t="n"/>
      <c r="G545" s="16" t="n"/>
      <c r="H545" s="16" t="n"/>
      <c r="I545" s="16" t="n"/>
      <c r="J545" s="16" t="n"/>
      <c r="K545" s="16" t="n"/>
      <c r="L545" s="16" t="n"/>
      <c r="M545" s="16" t="n"/>
      <c r="N545" s="16" t="n"/>
      <c r="O545" s="16" t="n"/>
      <c r="P545" s="16" t="n"/>
      <c r="Q545" s="16" t="n"/>
      <c r="R545" s="16" t="n"/>
      <c r="S545" s="16" t="n"/>
      <c r="T545" s="16" t="n"/>
      <c r="U545" s="16" t="n"/>
      <c r="V545" s="16" t="n"/>
      <c r="W545" s="16" t="n"/>
      <c r="X545" s="16" t="n"/>
      <c r="Y545" s="16" t="n"/>
      <c r="Z545" s="16" t="n"/>
      <c r="AA545" s="16" t="n"/>
    </row>
    <row r="546">
      <c r="A546" s="16" t="n"/>
      <c r="B546" s="16" t="n"/>
      <c r="C546" s="16" t="n"/>
      <c r="D546" s="16" t="n"/>
      <c r="E546" s="16" t="n"/>
      <c r="F546" s="16" t="n"/>
      <c r="G546" s="16" t="n"/>
      <c r="H546" s="16" t="n"/>
      <c r="I546" s="16" t="n"/>
      <c r="J546" s="16" t="n"/>
      <c r="K546" s="16" t="n"/>
      <c r="L546" s="16" t="n"/>
      <c r="M546" s="16" t="n"/>
      <c r="N546" s="16" t="n"/>
      <c r="O546" s="16" t="n"/>
      <c r="P546" s="16" t="n"/>
      <c r="Q546" s="16" t="n"/>
      <c r="R546" s="16" t="n"/>
      <c r="S546" s="16" t="n"/>
      <c r="T546" s="16" t="n"/>
      <c r="U546" s="16" t="n"/>
      <c r="V546" s="16" t="n"/>
      <c r="W546" s="16" t="n"/>
      <c r="X546" s="16" t="n"/>
      <c r="Y546" s="16" t="n"/>
      <c r="Z546" s="16" t="n"/>
      <c r="AA546" s="16" t="n"/>
    </row>
    <row r="547">
      <c r="A547" s="16" t="n"/>
      <c r="B547" s="16" t="n"/>
      <c r="C547" s="16" t="n"/>
      <c r="D547" s="16" t="n"/>
      <c r="E547" s="16" t="n"/>
      <c r="F547" s="16" t="n"/>
      <c r="G547" s="16" t="n"/>
      <c r="H547" s="16" t="n"/>
      <c r="I547" s="16" t="n"/>
      <c r="J547" s="16" t="n"/>
      <c r="K547" s="16" t="n"/>
      <c r="L547" s="16" t="n"/>
      <c r="M547" s="16" t="n"/>
      <c r="N547" s="16" t="n"/>
      <c r="O547" s="16" t="n"/>
      <c r="P547" s="16" t="n"/>
      <c r="Q547" s="16" t="n"/>
      <c r="R547" s="16" t="n"/>
      <c r="S547" s="16" t="n"/>
      <c r="T547" s="16" t="n"/>
      <c r="U547" s="16" t="n"/>
      <c r="V547" s="16" t="n"/>
      <c r="W547" s="16" t="n"/>
      <c r="X547" s="16" t="n"/>
      <c r="Y547" s="16" t="n"/>
      <c r="Z547" s="16" t="n"/>
      <c r="AA547" s="16" t="n"/>
    </row>
    <row r="548">
      <c r="A548" s="16" t="n"/>
      <c r="B548" s="16" t="n"/>
      <c r="C548" s="16" t="n"/>
      <c r="D548" s="16" t="n"/>
      <c r="E548" s="16" t="n"/>
      <c r="F548" s="16" t="n"/>
      <c r="G548" s="16" t="n"/>
      <c r="H548" s="16" t="n"/>
      <c r="I548" s="16" t="n"/>
      <c r="J548" s="16" t="n"/>
      <c r="K548" s="16" t="n"/>
      <c r="L548" s="16" t="n"/>
      <c r="M548" s="16" t="n"/>
      <c r="N548" s="16" t="n"/>
      <c r="O548" s="16" t="n"/>
      <c r="P548" s="16" t="n"/>
      <c r="Q548" s="16" t="n"/>
      <c r="R548" s="16" t="n"/>
      <c r="S548" s="16" t="n"/>
      <c r="T548" s="16" t="n"/>
      <c r="U548" s="16" t="n"/>
      <c r="V548" s="16" t="n"/>
      <c r="W548" s="16" t="n"/>
      <c r="X548" s="16" t="n"/>
      <c r="Y548" s="16" t="n"/>
      <c r="Z548" s="16" t="n"/>
      <c r="AA548" s="16" t="n"/>
    </row>
    <row r="549">
      <c r="A549" s="16" t="n"/>
      <c r="B549" s="16" t="n"/>
      <c r="C549" s="16" t="n"/>
      <c r="D549" s="16" t="n"/>
      <c r="E549" s="16" t="n"/>
      <c r="F549" s="16" t="n"/>
      <c r="G549" s="16" t="n"/>
      <c r="H549" s="16" t="n"/>
      <c r="I549" s="16" t="n"/>
      <c r="J549" s="16" t="n"/>
      <c r="K549" s="16" t="n"/>
      <c r="L549" s="16" t="n"/>
      <c r="M549" s="16" t="n"/>
      <c r="N549" s="16" t="n"/>
      <c r="O549" s="16" t="n"/>
      <c r="P549" s="16" t="n"/>
      <c r="Q549" s="16" t="n"/>
      <c r="R549" s="16" t="n"/>
      <c r="S549" s="16" t="n"/>
      <c r="T549" s="16" t="n"/>
      <c r="U549" s="16" t="n"/>
      <c r="V549" s="16" t="n"/>
      <c r="W549" s="16" t="n"/>
      <c r="X549" s="16" t="n"/>
      <c r="Y549" s="16" t="n"/>
      <c r="Z549" s="16" t="n"/>
      <c r="AA549" s="16" t="n"/>
    </row>
    <row r="550">
      <c r="A550" s="16" t="n"/>
      <c r="B550" s="16" t="n"/>
      <c r="C550" s="16" t="n"/>
      <c r="D550" s="16" t="n"/>
      <c r="E550" s="16" t="n"/>
      <c r="F550" s="16" t="n"/>
      <c r="G550" s="16" t="n"/>
      <c r="H550" s="16" t="n"/>
      <c r="I550" s="16" t="n"/>
      <c r="J550" s="16" t="n"/>
      <c r="K550" s="16" t="n"/>
      <c r="L550" s="16" t="n"/>
      <c r="M550" s="16" t="n"/>
      <c r="N550" s="16" t="n"/>
      <c r="O550" s="16" t="n"/>
      <c r="P550" s="16" t="n"/>
      <c r="Q550" s="16" t="n"/>
      <c r="R550" s="16" t="n"/>
      <c r="S550" s="16" t="n"/>
      <c r="T550" s="16" t="n"/>
      <c r="U550" s="16" t="n"/>
      <c r="V550" s="16" t="n"/>
      <c r="W550" s="16" t="n"/>
      <c r="X550" s="16" t="n"/>
      <c r="Y550" s="16" t="n"/>
      <c r="Z550" s="16" t="n"/>
      <c r="AA550" s="16" t="n"/>
    </row>
    <row r="551">
      <c r="A551" s="16" t="n"/>
      <c r="B551" s="16" t="n"/>
      <c r="C551" s="16" t="n"/>
      <c r="D551" s="16" t="n"/>
      <c r="E551" s="16" t="n"/>
      <c r="F551" s="16" t="n"/>
      <c r="G551" s="16" t="n"/>
      <c r="H551" s="16" t="n"/>
      <c r="I551" s="16" t="n"/>
      <c r="J551" s="16" t="n"/>
      <c r="K551" s="16" t="n"/>
      <c r="L551" s="16" t="n"/>
      <c r="M551" s="16" t="n"/>
      <c r="N551" s="16" t="n"/>
      <c r="O551" s="16" t="n"/>
      <c r="P551" s="16" t="n"/>
      <c r="Q551" s="16" t="n"/>
      <c r="R551" s="16" t="n"/>
      <c r="S551" s="16" t="n"/>
      <c r="T551" s="16" t="n"/>
      <c r="U551" s="16" t="n"/>
      <c r="V551" s="16" t="n"/>
      <c r="W551" s="16" t="n"/>
      <c r="X551" s="16" t="n"/>
      <c r="Y551" s="16" t="n"/>
      <c r="Z551" s="16" t="n"/>
      <c r="AA551" s="16" t="n"/>
    </row>
    <row r="552">
      <c r="A552" s="16" t="n"/>
      <c r="B552" s="16" t="n"/>
      <c r="C552" s="16" t="n"/>
      <c r="D552" s="16" t="n"/>
      <c r="E552" s="16" t="n"/>
      <c r="F552" s="16" t="n"/>
      <c r="G552" s="16" t="n"/>
      <c r="H552" s="16" t="n"/>
      <c r="I552" s="16" t="n"/>
      <c r="J552" s="16" t="n"/>
      <c r="K552" s="16" t="n"/>
      <c r="L552" s="16" t="n"/>
      <c r="M552" s="16" t="n"/>
      <c r="N552" s="16" t="n"/>
      <c r="O552" s="16" t="n"/>
      <c r="P552" s="16" t="n"/>
      <c r="Q552" s="16" t="n"/>
      <c r="R552" s="16" t="n"/>
      <c r="S552" s="16" t="n"/>
      <c r="T552" s="16" t="n"/>
      <c r="U552" s="16" t="n"/>
      <c r="V552" s="16" t="n"/>
      <c r="W552" s="16" t="n"/>
      <c r="X552" s="16" t="n"/>
      <c r="Y552" s="16" t="n"/>
      <c r="Z552" s="16" t="n"/>
      <c r="AA552" s="16" t="n"/>
    </row>
    <row r="553">
      <c r="A553" s="16" t="n"/>
      <c r="B553" s="16" t="n"/>
      <c r="C553" s="16" t="n"/>
      <c r="D553" s="16" t="n"/>
      <c r="E553" s="16" t="n"/>
      <c r="F553" s="16" t="n"/>
      <c r="G553" s="16" t="n"/>
      <c r="H553" s="16" t="n"/>
      <c r="I553" s="16" t="n"/>
      <c r="J553" s="16" t="n"/>
      <c r="K553" s="16" t="n"/>
      <c r="L553" s="16" t="n"/>
      <c r="M553" s="16" t="n"/>
      <c r="N553" s="16" t="n"/>
      <c r="O553" s="16" t="n"/>
      <c r="P553" s="16" t="n"/>
      <c r="Q553" s="16" t="n"/>
      <c r="R553" s="16" t="n"/>
      <c r="S553" s="16" t="n"/>
      <c r="T553" s="16" t="n"/>
      <c r="U553" s="16" t="n"/>
      <c r="V553" s="16" t="n"/>
      <c r="W553" s="16" t="n"/>
      <c r="X553" s="16" t="n"/>
      <c r="Y553" s="16" t="n"/>
      <c r="Z553" s="16" t="n"/>
      <c r="AA553" s="16" t="n"/>
    </row>
    <row r="554">
      <c r="A554" s="16" t="n"/>
      <c r="B554" s="16" t="n"/>
      <c r="C554" s="16" t="n"/>
      <c r="D554" s="16" t="n"/>
      <c r="E554" s="16" t="n"/>
      <c r="F554" s="16" t="n"/>
      <c r="G554" s="16" t="n"/>
      <c r="H554" s="16" t="n"/>
      <c r="I554" s="16" t="n"/>
      <c r="J554" s="16" t="n"/>
      <c r="K554" s="16" t="n"/>
      <c r="L554" s="16" t="n"/>
      <c r="M554" s="16" t="n"/>
      <c r="N554" s="16" t="n"/>
      <c r="O554" s="16" t="n"/>
      <c r="P554" s="16" t="n"/>
      <c r="Q554" s="16" t="n"/>
      <c r="R554" s="16" t="n"/>
      <c r="S554" s="16" t="n"/>
      <c r="T554" s="16" t="n"/>
      <c r="U554" s="16" t="n"/>
      <c r="V554" s="16" t="n"/>
      <c r="W554" s="16" t="n"/>
      <c r="X554" s="16" t="n"/>
      <c r="Y554" s="16" t="n"/>
      <c r="Z554" s="16" t="n"/>
      <c r="AA554" s="16" t="n"/>
    </row>
    <row r="555">
      <c r="A555" s="16" t="n"/>
      <c r="B555" s="16" t="n"/>
      <c r="C555" s="16" t="n"/>
      <c r="D555" s="16" t="n"/>
      <c r="E555" s="16" t="n"/>
      <c r="F555" s="16" t="n"/>
      <c r="G555" s="16" t="n"/>
      <c r="H555" s="16" t="n"/>
      <c r="I555" s="16" t="n"/>
      <c r="J555" s="16" t="n"/>
      <c r="K555" s="16" t="n"/>
      <c r="L555" s="16" t="n"/>
      <c r="M555" s="16" t="n"/>
      <c r="N555" s="16" t="n"/>
      <c r="O555" s="16" t="n"/>
      <c r="P555" s="16" t="n"/>
      <c r="Q555" s="16" t="n"/>
      <c r="R555" s="16" t="n"/>
      <c r="S555" s="16" t="n"/>
      <c r="T555" s="16" t="n"/>
      <c r="U555" s="16" t="n"/>
      <c r="V555" s="16" t="n"/>
      <c r="W555" s="16" t="n"/>
      <c r="X555" s="16" t="n"/>
      <c r="Y555" s="16" t="n"/>
      <c r="Z555" s="16" t="n"/>
      <c r="AA555" s="16" t="n"/>
    </row>
    <row r="556">
      <c r="A556" s="16" t="n"/>
      <c r="B556" s="16" t="n"/>
      <c r="C556" s="16" t="n"/>
      <c r="D556" s="16" t="n"/>
      <c r="E556" s="16" t="n"/>
      <c r="F556" s="16" t="n"/>
      <c r="G556" s="16" t="n"/>
      <c r="H556" s="16" t="n"/>
      <c r="I556" s="16" t="n"/>
      <c r="J556" s="16" t="n"/>
      <c r="K556" s="16" t="n"/>
      <c r="L556" s="16" t="n"/>
      <c r="M556" s="16" t="n"/>
      <c r="N556" s="16" t="n"/>
      <c r="O556" s="16" t="n"/>
      <c r="P556" s="16" t="n"/>
      <c r="Q556" s="16" t="n"/>
      <c r="R556" s="16" t="n"/>
      <c r="S556" s="16" t="n"/>
      <c r="T556" s="16" t="n"/>
      <c r="U556" s="16" t="n"/>
      <c r="V556" s="16" t="n"/>
      <c r="W556" s="16" t="n"/>
      <c r="X556" s="16" t="n"/>
      <c r="Y556" s="16" t="n"/>
      <c r="Z556" s="16" t="n"/>
      <c r="AA556" s="16" t="n"/>
    </row>
    <row r="557">
      <c r="A557" s="16" t="n"/>
      <c r="B557" s="16" t="n"/>
      <c r="C557" s="16" t="n"/>
      <c r="D557" s="16" t="n"/>
      <c r="E557" s="16" t="n"/>
      <c r="F557" s="16" t="n"/>
      <c r="G557" s="16" t="n"/>
      <c r="H557" s="16" t="n"/>
      <c r="I557" s="16" t="n"/>
      <c r="J557" s="16" t="n"/>
      <c r="K557" s="16" t="n"/>
      <c r="L557" s="16" t="n"/>
      <c r="M557" s="16" t="n"/>
      <c r="N557" s="16" t="n"/>
      <c r="O557" s="16" t="n"/>
      <c r="P557" s="16" t="n"/>
      <c r="Q557" s="16" t="n"/>
      <c r="R557" s="16" t="n"/>
      <c r="S557" s="16" t="n"/>
      <c r="T557" s="16" t="n"/>
      <c r="U557" s="16" t="n"/>
      <c r="V557" s="16" t="n"/>
      <c r="W557" s="16" t="n"/>
      <c r="X557" s="16" t="n"/>
      <c r="Y557" s="16" t="n"/>
      <c r="Z557" s="16" t="n"/>
      <c r="AA557" s="16" t="n"/>
    </row>
    <row r="558">
      <c r="A558" s="16" t="n"/>
      <c r="B558" s="16" t="n"/>
      <c r="C558" s="16" t="n"/>
      <c r="D558" s="16" t="n"/>
      <c r="E558" s="16" t="n"/>
      <c r="F558" s="16" t="n"/>
      <c r="G558" s="16" t="n"/>
      <c r="H558" s="16" t="n"/>
      <c r="I558" s="16" t="n"/>
      <c r="J558" s="16" t="n"/>
      <c r="K558" s="16" t="n"/>
      <c r="L558" s="16" t="n"/>
      <c r="M558" s="16" t="n"/>
      <c r="N558" s="16" t="n"/>
      <c r="O558" s="16" t="n"/>
      <c r="P558" s="16" t="n"/>
      <c r="Q558" s="16" t="n"/>
      <c r="R558" s="16" t="n"/>
      <c r="S558" s="16" t="n"/>
      <c r="T558" s="16" t="n"/>
      <c r="U558" s="16" t="n"/>
      <c r="V558" s="16" t="n"/>
      <c r="W558" s="16" t="n"/>
      <c r="X558" s="16" t="n"/>
      <c r="Y558" s="16" t="n"/>
      <c r="Z558" s="16" t="n"/>
      <c r="AA558" s="16" t="n"/>
    </row>
    <row r="559">
      <c r="A559" s="16" t="n"/>
      <c r="B559" s="16" t="n"/>
      <c r="C559" s="16" t="n"/>
      <c r="D559" s="16" t="n"/>
      <c r="E559" s="16" t="n"/>
      <c r="F559" s="16" t="n"/>
      <c r="G559" s="16" t="n"/>
      <c r="H559" s="16" t="n"/>
      <c r="I559" s="16" t="n"/>
      <c r="J559" s="16" t="n"/>
      <c r="K559" s="16" t="n"/>
      <c r="L559" s="16" t="n"/>
      <c r="M559" s="16" t="n"/>
      <c r="N559" s="16" t="n"/>
      <c r="O559" s="16" t="n"/>
      <c r="P559" s="16" t="n"/>
      <c r="Q559" s="16" t="n"/>
      <c r="R559" s="16" t="n"/>
      <c r="S559" s="16" t="n"/>
      <c r="T559" s="16" t="n"/>
      <c r="U559" s="16" t="n"/>
      <c r="V559" s="16" t="n"/>
      <c r="W559" s="16" t="n"/>
      <c r="X559" s="16" t="n"/>
      <c r="Y559" s="16" t="n"/>
      <c r="Z559" s="16" t="n"/>
      <c r="AA559" s="16" t="n"/>
    </row>
    <row r="560">
      <c r="A560" s="16" t="n"/>
      <c r="B560" s="16" t="n"/>
      <c r="C560" s="16" t="n"/>
      <c r="D560" s="16" t="n"/>
      <c r="E560" s="16" t="n"/>
      <c r="F560" s="16" t="n"/>
      <c r="G560" s="16" t="n"/>
      <c r="H560" s="16" t="n"/>
      <c r="I560" s="16" t="n"/>
      <c r="J560" s="16" t="n"/>
      <c r="K560" s="16" t="n"/>
      <c r="L560" s="16" t="n"/>
      <c r="M560" s="16" t="n"/>
      <c r="N560" s="16" t="n"/>
      <c r="O560" s="16" t="n"/>
      <c r="P560" s="16" t="n"/>
      <c r="Q560" s="16" t="n"/>
      <c r="R560" s="16" t="n"/>
      <c r="S560" s="16" t="n"/>
      <c r="T560" s="16" t="n"/>
      <c r="U560" s="16" t="n"/>
      <c r="V560" s="16" t="n"/>
      <c r="W560" s="16" t="n"/>
      <c r="X560" s="16" t="n"/>
      <c r="Y560" s="16" t="n"/>
      <c r="Z560" s="16" t="n"/>
      <c r="AA560" s="16" t="n"/>
    </row>
    <row r="561">
      <c r="A561" s="16" t="n"/>
      <c r="B561" s="16" t="n"/>
      <c r="C561" s="16" t="n"/>
      <c r="D561" s="16" t="n"/>
      <c r="E561" s="16" t="n"/>
      <c r="F561" s="16" t="n"/>
      <c r="G561" s="16" t="n"/>
      <c r="H561" s="16" t="n"/>
      <c r="I561" s="16" t="n"/>
      <c r="J561" s="16" t="n"/>
      <c r="K561" s="16" t="n"/>
      <c r="L561" s="16" t="n"/>
      <c r="M561" s="16" t="n"/>
      <c r="N561" s="16" t="n"/>
      <c r="O561" s="16" t="n"/>
      <c r="P561" s="16" t="n"/>
      <c r="Q561" s="16" t="n"/>
      <c r="R561" s="16" t="n"/>
      <c r="S561" s="16" t="n"/>
      <c r="T561" s="16" t="n"/>
      <c r="U561" s="16" t="n"/>
      <c r="V561" s="16" t="n"/>
      <c r="W561" s="16" t="n"/>
      <c r="X561" s="16" t="n"/>
      <c r="Y561" s="16" t="n"/>
      <c r="Z561" s="16" t="n"/>
      <c r="AA561" s="16" t="n"/>
    </row>
    <row r="562">
      <c r="A562" s="16" t="n"/>
      <c r="B562" s="16" t="n"/>
      <c r="C562" s="16" t="n"/>
      <c r="D562" s="16" t="n"/>
      <c r="E562" s="16" t="n"/>
      <c r="F562" s="16" t="n"/>
      <c r="G562" s="16" t="n"/>
      <c r="H562" s="16" t="n"/>
      <c r="I562" s="16" t="n"/>
      <c r="J562" s="16" t="n"/>
      <c r="K562" s="16" t="n"/>
      <c r="L562" s="16" t="n"/>
      <c r="M562" s="16" t="n"/>
      <c r="N562" s="16" t="n"/>
      <c r="O562" s="16" t="n"/>
      <c r="P562" s="16" t="n"/>
      <c r="Q562" s="16" t="n"/>
      <c r="R562" s="16" t="n"/>
      <c r="S562" s="16" t="n"/>
      <c r="T562" s="16" t="n"/>
      <c r="U562" s="16" t="n"/>
      <c r="V562" s="16" t="n"/>
      <c r="W562" s="16" t="n"/>
      <c r="X562" s="16" t="n"/>
      <c r="Y562" s="16" t="n"/>
      <c r="Z562" s="16" t="n"/>
      <c r="AA562" s="16" t="n"/>
    </row>
    <row r="563">
      <c r="A563" s="16" t="n"/>
      <c r="B563" s="16" t="n"/>
      <c r="C563" s="16" t="n"/>
      <c r="D563" s="16" t="n"/>
      <c r="E563" s="16" t="n"/>
      <c r="F563" s="16" t="n"/>
      <c r="G563" s="16" t="n"/>
      <c r="H563" s="16" t="n"/>
      <c r="I563" s="16" t="n"/>
      <c r="J563" s="16" t="n"/>
      <c r="K563" s="16" t="n"/>
      <c r="L563" s="16" t="n"/>
      <c r="M563" s="16" t="n"/>
      <c r="N563" s="16" t="n"/>
      <c r="O563" s="16" t="n"/>
      <c r="P563" s="16" t="n"/>
      <c r="Q563" s="16" t="n"/>
      <c r="R563" s="16" t="n"/>
      <c r="S563" s="16" t="n"/>
      <c r="T563" s="16" t="n"/>
      <c r="U563" s="16" t="n"/>
      <c r="V563" s="16" t="n"/>
      <c r="W563" s="16" t="n"/>
      <c r="X563" s="16" t="n"/>
      <c r="Y563" s="16" t="n"/>
      <c r="Z563" s="16" t="n"/>
      <c r="AA563" s="16" t="n"/>
    </row>
    <row r="564">
      <c r="A564" s="16" t="n"/>
      <c r="B564" s="16" t="n"/>
      <c r="C564" s="16" t="n"/>
      <c r="D564" s="16" t="n"/>
      <c r="E564" s="16" t="n"/>
      <c r="F564" s="16" t="n"/>
      <c r="G564" s="16" t="n"/>
      <c r="H564" s="16" t="n"/>
      <c r="I564" s="16" t="n"/>
      <c r="J564" s="16" t="n"/>
      <c r="K564" s="16" t="n"/>
      <c r="L564" s="16" t="n"/>
      <c r="M564" s="16" t="n"/>
      <c r="N564" s="16" t="n"/>
      <c r="O564" s="16" t="n"/>
      <c r="P564" s="16" t="n"/>
      <c r="Q564" s="16" t="n"/>
      <c r="R564" s="16" t="n"/>
      <c r="S564" s="16" t="n"/>
      <c r="T564" s="16" t="n"/>
      <c r="U564" s="16" t="n"/>
      <c r="V564" s="16" t="n"/>
      <c r="W564" s="16" t="n"/>
      <c r="X564" s="16" t="n"/>
      <c r="Y564" s="16" t="n"/>
      <c r="Z564" s="16" t="n"/>
      <c r="AA564" s="16" t="n"/>
    </row>
    <row r="565">
      <c r="A565" s="16" t="n"/>
      <c r="B565" s="16" t="n"/>
      <c r="C565" s="16" t="n"/>
      <c r="D565" s="16" t="n"/>
      <c r="E565" s="16" t="n"/>
      <c r="F565" s="16" t="n"/>
      <c r="G565" s="16" t="n"/>
      <c r="H565" s="16" t="n"/>
      <c r="I565" s="16" t="n"/>
      <c r="J565" s="16" t="n"/>
      <c r="K565" s="16" t="n"/>
      <c r="L565" s="16" t="n"/>
      <c r="M565" s="16" t="n"/>
      <c r="N565" s="16" t="n"/>
      <c r="O565" s="16" t="n"/>
      <c r="P565" s="16" t="n"/>
      <c r="Q565" s="16" t="n"/>
      <c r="R565" s="16" t="n"/>
      <c r="S565" s="16" t="n"/>
      <c r="T565" s="16" t="n"/>
      <c r="U565" s="16" t="n"/>
      <c r="V565" s="16" t="n"/>
      <c r="W565" s="16" t="n"/>
      <c r="X565" s="16" t="n"/>
      <c r="Y565" s="16" t="n"/>
      <c r="Z565" s="16" t="n"/>
      <c r="AA565" s="16" t="n"/>
    </row>
    <row r="566">
      <c r="A566" s="16" t="n"/>
      <c r="B566" s="16" t="n"/>
      <c r="C566" s="16" t="n"/>
      <c r="D566" s="16" t="n"/>
      <c r="E566" s="16" t="n"/>
      <c r="F566" s="16" t="n"/>
      <c r="G566" s="16" t="n"/>
      <c r="H566" s="16" t="n"/>
      <c r="I566" s="16" t="n"/>
      <c r="J566" s="16" t="n"/>
      <c r="K566" s="16" t="n"/>
      <c r="L566" s="16" t="n"/>
      <c r="M566" s="16" t="n"/>
      <c r="N566" s="16" t="n"/>
      <c r="O566" s="16" t="n"/>
      <c r="P566" s="16" t="n"/>
      <c r="Q566" s="16" t="n"/>
      <c r="R566" s="16" t="n"/>
      <c r="S566" s="16" t="n"/>
      <c r="T566" s="16" t="n"/>
      <c r="U566" s="16" t="n"/>
      <c r="V566" s="16" t="n"/>
      <c r="W566" s="16" t="n"/>
      <c r="X566" s="16" t="n"/>
      <c r="Y566" s="16" t="n"/>
      <c r="Z566" s="16" t="n"/>
      <c r="AA566" s="16" t="n"/>
    </row>
    <row r="567">
      <c r="A567" s="16" t="n"/>
      <c r="B567" s="16" t="n"/>
      <c r="C567" s="16" t="n"/>
      <c r="D567" s="16" t="n"/>
      <c r="E567" s="16" t="n"/>
      <c r="F567" s="16" t="n"/>
      <c r="G567" s="16" t="n"/>
      <c r="H567" s="16" t="n"/>
      <c r="I567" s="16" t="n"/>
      <c r="J567" s="16" t="n"/>
      <c r="K567" s="16" t="n"/>
      <c r="L567" s="16" t="n"/>
      <c r="M567" s="16" t="n"/>
      <c r="N567" s="16" t="n"/>
      <c r="O567" s="16" t="n"/>
      <c r="P567" s="16" t="n"/>
      <c r="Q567" s="16" t="n"/>
      <c r="R567" s="16" t="n"/>
      <c r="S567" s="16" t="n"/>
      <c r="T567" s="16" t="n"/>
      <c r="U567" s="16" t="n"/>
      <c r="V567" s="16" t="n"/>
      <c r="W567" s="16" t="n"/>
      <c r="X567" s="16" t="n"/>
      <c r="Y567" s="16" t="n"/>
      <c r="Z567" s="16" t="n"/>
      <c r="AA567" s="16" t="n"/>
    </row>
    <row r="568">
      <c r="A568" s="16" t="n"/>
      <c r="B568" s="16" t="n"/>
      <c r="C568" s="16" t="n"/>
      <c r="D568" s="16" t="n"/>
      <c r="E568" s="16" t="n"/>
      <c r="F568" s="16" t="n"/>
      <c r="G568" s="16" t="n"/>
      <c r="H568" s="16" t="n"/>
      <c r="I568" s="16" t="n"/>
      <c r="J568" s="16" t="n"/>
      <c r="K568" s="16" t="n"/>
      <c r="L568" s="16" t="n"/>
      <c r="M568" s="16" t="n"/>
      <c r="N568" s="16" t="n"/>
      <c r="O568" s="16" t="n"/>
      <c r="P568" s="16" t="n"/>
      <c r="Q568" s="16" t="n"/>
      <c r="R568" s="16" t="n"/>
      <c r="S568" s="16" t="n"/>
      <c r="T568" s="16" t="n"/>
      <c r="U568" s="16" t="n"/>
      <c r="V568" s="16" t="n"/>
      <c r="W568" s="16" t="n"/>
      <c r="X568" s="16" t="n"/>
      <c r="Y568" s="16" t="n"/>
      <c r="Z568" s="16" t="n"/>
      <c r="AA568" s="16" t="n"/>
    </row>
    <row r="569">
      <c r="A569" s="16" t="n"/>
      <c r="B569" s="16" t="n"/>
      <c r="C569" s="16" t="n"/>
      <c r="D569" s="16" t="n"/>
      <c r="E569" s="16" t="n"/>
      <c r="F569" s="16" t="n"/>
      <c r="G569" s="16" t="n"/>
      <c r="H569" s="16" t="n"/>
      <c r="I569" s="16" t="n"/>
      <c r="J569" s="16" t="n"/>
      <c r="K569" s="16" t="n"/>
      <c r="L569" s="16" t="n"/>
      <c r="M569" s="16" t="n"/>
      <c r="N569" s="16" t="n"/>
      <c r="O569" s="16" t="n"/>
      <c r="P569" s="16" t="n"/>
      <c r="Q569" s="16" t="n"/>
      <c r="R569" s="16" t="n"/>
      <c r="S569" s="16" t="n"/>
      <c r="T569" s="16" t="n"/>
      <c r="U569" s="16" t="n"/>
      <c r="V569" s="16" t="n"/>
      <c r="W569" s="16" t="n"/>
      <c r="X569" s="16" t="n"/>
      <c r="Y569" s="16" t="n"/>
      <c r="Z569" s="16" t="n"/>
      <c r="AA569" s="16" t="n"/>
    </row>
    <row r="570">
      <c r="A570" s="16" t="n"/>
      <c r="B570" s="16" t="n"/>
      <c r="C570" s="16" t="n"/>
      <c r="D570" s="16" t="n"/>
      <c r="E570" s="16" t="n"/>
      <c r="F570" s="16" t="n"/>
      <c r="G570" s="16" t="n"/>
      <c r="H570" s="16" t="n"/>
      <c r="I570" s="16" t="n"/>
      <c r="J570" s="16" t="n"/>
      <c r="K570" s="16" t="n"/>
      <c r="L570" s="16" t="n"/>
      <c r="M570" s="16" t="n"/>
      <c r="N570" s="16" t="n"/>
      <c r="O570" s="16" t="n"/>
      <c r="P570" s="16" t="n"/>
      <c r="Q570" s="16" t="n"/>
      <c r="R570" s="16" t="n"/>
      <c r="S570" s="16" t="n"/>
      <c r="T570" s="16" t="n"/>
      <c r="U570" s="16" t="n"/>
      <c r="V570" s="16" t="n"/>
      <c r="W570" s="16" t="n"/>
      <c r="X570" s="16" t="n"/>
      <c r="Y570" s="16" t="n"/>
      <c r="Z570" s="16" t="n"/>
      <c r="AA570" s="16" t="n"/>
    </row>
    <row r="571">
      <c r="A571" s="16" t="n"/>
      <c r="B571" s="16" t="n"/>
      <c r="C571" s="16" t="n"/>
      <c r="D571" s="16" t="n"/>
      <c r="E571" s="16" t="n"/>
      <c r="F571" s="16" t="n"/>
      <c r="G571" s="16" t="n"/>
      <c r="H571" s="16" t="n"/>
      <c r="I571" s="16" t="n"/>
      <c r="J571" s="16" t="n"/>
      <c r="K571" s="16" t="n"/>
      <c r="L571" s="16" t="n"/>
      <c r="M571" s="16" t="n"/>
      <c r="N571" s="16" t="n"/>
      <c r="O571" s="16" t="n"/>
      <c r="P571" s="16" t="n"/>
      <c r="Q571" s="16" t="n"/>
      <c r="R571" s="16" t="n"/>
      <c r="S571" s="16" t="n"/>
      <c r="T571" s="16" t="n"/>
      <c r="U571" s="16" t="n"/>
      <c r="V571" s="16" t="n"/>
      <c r="W571" s="16" t="n"/>
      <c r="X571" s="16" t="n"/>
      <c r="Y571" s="16" t="n"/>
      <c r="Z571" s="16" t="n"/>
      <c r="AA571" s="16" t="n"/>
    </row>
    <row r="572">
      <c r="A572" s="16" t="n"/>
      <c r="B572" s="16" t="n"/>
      <c r="C572" s="16" t="n"/>
      <c r="D572" s="16" t="n"/>
      <c r="E572" s="16" t="n"/>
      <c r="F572" s="16" t="n"/>
      <c r="G572" s="16" t="n"/>
      <c r="H572" s="16" t="n"/>
      <c r="I572" s="16" t="n"/>
      <c r="J572" s="16" t="n"/>
      <c r="K572" s="16" t="n"/>
      <c r="L572" s="16" t="n"/>
      <c r="M572" s="16" t="n"/>
      <c r="N572" s="16" t="n"/>
      <c r="O572" s="16" t="n"/>
      <c r="P572" s="16" t="n"/>
      <c r="Q572" s="16" t="n"/>
      <c r="R572" s="16" t="n"/>
      <c r="S572" s="16" t="n"/>
      <c r="T572" s="16" t="n"/>
      <c r="U572" s="16" t="n"/>
      <c r="V572" s="16" t="n"/>
      <c r="W572" s="16" t="n"/>
      <c r="X572" s="16" t="n"/>
      <c r="Y572" s="16" t="n"/>
      <c r="Z572" s="16" t="n"/>
      <c r="AA572" s="16" t="n"/>
    </row>
    <row r="573">
      <c r="A573" s="16" t="n"/>
      <c r="B573" s="16" t="n"/>
      <c r="C573" s="16" t="n"/>
      <c r="D573" s="16" t="n"/>
      <c r="E573" s="16" t="n"/>
      <c r="F573" s="16" t="n"/>
      <c r="G573" s="16" t="n"/>
      <c r="H573" s="16" t="n"/>
      <c r="I573" s="16" t="n"/>
      <c r="J573" s="16" t="n"/>
      <c r="K573" s="16" t="n"/>
      <c r="L573" s="16" t="n"/>
      <c r="M573" s="16" t="n"/>
      <c r="N573" s="16" t="n"/>
      <c r="O573" s="16" t="n"/>
      <c r="P573" s="16" t="n"/>
      <c r="Q573" s="16" t="n"/>
      <c r="R573" s="16" t="n"/>
      <c r="S573" s="16" t="n"/>
      <c r="T573" s="16" t="n"/>
      <c r="U573" s="16" t="n"/>
      <c r="V573" s="16" t="n"/>
      <c r="W573" s="16" t="n"/>
      <c r="X573" s="16" t="n"/>
      <c r="Y573" s="16" t="n"/>
      <c r="Z573" s="16" t="n"/>
      <c r="AA573" s="16" t="n"/>
    </row>
    <row r="574">
      <c r="A574" s="16" t="n"/>
      <c r="B574" s="16" t="n"/>
      <c r="C574" s="16" t="n"/>
      <c r="D574" s="16" t="n"/>
      <c r="E574" s="16" t="n"/>
      <c r="F574" s="16" t="n"/>
      <c r="G574" s="16" t="n"/>
      <c r="H574" s="16" t="n"/>
      <c r="I574" s="16" t="n"/>
      <c r="J574" s="16" t="n"/>
      <c r="K574" s="16" t="n"/>
      <c r="L574" s="16" t="n"/>
      <c r="M574" s="16" t="n"/>
      <c r="N574" s="16" t="n"/>
      <c r="O574" s="16" t="n"/>
      <c r="P574" s="16" t="n"/>
      <c r="Q574" s="16" t="n"/>
      <c r="R574" s="16" t="n"/>
      <c r="S574" s="16" t="n"/>
      <c r="T574" s="16" t="n"/>
      <c r="U574" s="16" t="n"/>
      <c r="V574" s="16" t="n"/>
      <c r="W574" s="16" t="n"/>
      <c r="X574" s="16" t="n"/>
      <c r="Y574" s="16" t="n"/>
      <c r="Z574" s="16" t="n"/>
      <c r="AA574" s="16" t="n"/>
    </row>
    <row r="575">
      <c r="A575" s="16" t="n"/>
      <c r="B575" s="16" t="n"/>
      <c r="C575" s="16" t="n"/>
      <c r="D575" s="16" t="n"/>
      <c r="E575" s="16" t="n"/>
      <c r="F575" s="16" t="n"/>
      <c r="G575" s="16" t="n"/>
      <c r="H575" s="16" t="n"/>
      <c r="I575" s="16" t="n"/>
      <c r="J575" s="16" t="n"/>
      <c r="K575" s="16" t="n"/>
      <c r="L575" s="16" t="n"/>
      <c r="M575" s="16" t="n"/>
      <c r="N575" s="16" t="n"/>
      <c r="O575" s="16" t="n"/>
      <c r="P575" s="16" t="n"/>
      <c r="Q575" s="16" t="n"/>
      <c r="R575" s="16" t="n"/>
      <c r="S575" s="16" t="n"/>
      <c r="T575" s="16" t="n"/>
      <c r="U575" s="16" t="n"/>
      <c r="V575" s="16" t="n"/>
      <c r="W575" s="16" t="n"/>
      <c r="X575" s="16" t="n"/>
      <c r="Y575" s="16" t="n"/>
      <c r="Z575" s="16" t="n"/>
      <c r="AA575" s="16" t="n"/>
    </row>
    <row r="576">
      <c r="A576" s="16" t="n"/>
      <c r="B576" s="16" t="n"/>
      <c r="C576" s="16" t="n"/>
      <c r="D576" s="16" t="n"/>
      <c r="E576" s="16" t="n"/>
      <c r="F576" s="16" t="n"/>
      <c r="G576" s="16" t="n"/>
      <c r="H576" s="16" t="n"/>
      <c r="I576" s="16" t="n"/>
      <c r="J576" s="16" t="n"/>
      <c r="K576" s="16" t="n"/>
      <c r="L576" s="16" t="n"/>
      <c r="M576" s="16" t="n"/>
      <c r="N576" s="16" t="n"/>
      <c r="O576" s="16" t="n"/>
      <c r="P576" s="16" t="n"/>
      <c r="Q576" s="16" t="n"/>
      <c r="R576" s="16" t="n"/>
      <c r="S576" s="16" t="n"/>
      <c r="T576" s="16" t="n"/>
      <c r="U576" s="16" t="n"/>
      <c r="V576" s="16" t="n"/>
      <c r="W576" s="16" t="n"/>
      <c r="X576" s="16" t="n"/>
      <c r="Y576" s="16" t="n"/>
      <c r="Z576" s="16" t="n"/>
      <c r="AA576" s="16" t="n"/>
    </row>
    <row r="577">
      <c r="A577" s="16" t="n"/>
      <c r="B577" s="16" t="n"/>
      <c r="C577" s="16" t="n"/>
      <c r="D577" s="16" t="n"/>
      <c r="E577" s="16" t="n"/>
      <c r="F577" s="16" t="n"/>
      <c r="G577" s="16" t="n"/>
      <c r="H577" s="16" t="n"/>
      <c r="I577" s="16" t="n"/>
      <c r="J577" s="16" t="n"/>
      <c r="K577" s="16" t="n"/>
      <c r="L577" s="16" t="n"/>
      <c r="M577" s="16" t="n"/>
      <c r="N577" s="16" t="n"/>
      <c r="O577" s="16" t="n"/>
      <c r="P577" s="16" t="n"/>
      <c r="Q577" s="16" t="n"/>
      <c r="R577" s="16" t="n"/>
      <c r="S577" s="16" t="n"/>
      <c r="T577" s="16" t="n"/>
      <c r="U577" s="16" t="n"/>
      <c r="V577" s="16" t="n"/>
      <c r="W577" s="16" t="n"/>
      <c r="X577" s="16" t="n"/>
      <c r="Y577" s="16" t="n"/>
      <c r="Z577" s="16" t="n"/>
      <c r="AA577" s="16" t="n"/>
    </row>
    <row r="578">
      <c r="A578" s="16" t="n"/>
      <c r="B578" s="16" t="n"/>
      <c r="C578" s="16" t="n"/>
      <c r="D578" s="16" t="n"/>
      <c r="E578" s="16" t="n"/>
      <c r="F578" s="16" t="n"/>
      <c r="G578" s="16" t="n"/>
      <c r="H578" s="16" t="n"/>
      <c r="I578" s="16" t="n"/>
      <c r="J578" s="16" t="n"/>
      <c r="K578" s="16" t="n"/>
      <c r="L578" s="16" t="n"/>
      <c r="M578" s="16" t="n"/>
      <c r="N578" s="16" t="n"/>
      <c r="O578" s="16" t="n"/>
      <c r="P578" s="16" t="n"/>
      <c r="Q578" s="16" t="n"/>
      <c r="R578" s="16" t="n"/>
      <c r="S578" s="16" t="n"/>
      <c r="T578" s="16" t="n"/>
      <c r="U578" s="16" t="n"/>
      <c r="V578" s="16" t="n"/>
      <c r="W578" s="16" t="n"/>
      <c r="X578" s="16" t="n"/>
      <c r="Y578" s="16" t="n"/>
      <c r="Z578" s="16" t="n"/>
      <c r="AA578" s="16" t="n"/>
    </row>
    <row r="579">
      <c r="A579" s="16" t="n"/>
      <c r="B579" s="16" t="n"/>
      <c r="C579" s="16" t="n"/>
      <c r="D579" s="16" t="n"/>
      <c r="E579" s="16" t="n"/>
      <c r="F579" s="16" t="n"/>
      <c r="G579" s="16" t="n"/>
      <c r="H579" s="16" t="n"/>
      <c r="I579" s="16" t="n"/>
      <c r="J579" s="16" t="n"/>
      <c r="K579" s="16" t="n"/>
      <c r="L579" s="16" t="n"/>
      <c r="M579" s="16" t="n"/>
      <c r="N579" s="16" t="n"/>
      <c r="O579" s="16" t="n"/>
      <c r="P579" s="16" t="n"/>
      <c r="Q579" s="16" t="n"/>
      <c r="R579" s="16" t="n"/>
      <c r="S579" s="16" t="n"/>
      <c r="T579" s="16" t="n"/>
      <c r="U579" s="16" t="n"/>
      <c r="V579" s="16" t="n"/>
      <c r="W579" s="16" t="n"/>
      <c r="X579" s="16" t="n"/>
      <c r="Y579" s="16" t="n"/>
      <c r="Z579" s="16" t="n"/>
      <c r="AA579" s="16" t="n"/>
    </row>
    <row r="580">
      <c r="A580" s="16" t="n"/>
      <c r="B580" s="16" t="n"/>
      <c r="C580" s="16" t="n"/>
      <c r="D580" s="16" t="n"/>
      <c r="E580" s="16" t="n"/>
      <c r="F580" s="16" t="n"/>
      <c r="G580" s="16" t="n"/>
      <c r="H580" s="16" t="n"/>
      <c r="I580" s="16" t="n"/>
      <c r="J580" s="16" t="n"/>
      <c r="K580" s="16" t="n"/>
      <c r="L580" s="16" t="n"/>
      <c r="M580" s="16" t="n"/>
      <c r="N580" s="16" t="n"/>
      <c r="O580" s="16" t="n"/>
      <c r="P580" s="16" t="n"/>
      <c r="Q580" s="16" t="n"/>
      <c r="R580" s="16" t="n"/>
      <c r="S580" s="16" t="n"/>
      <c r="T580" s="16" t="n"/>
      <c r="U580" s="16" t="n"/>
      <c r="V580" s="16" t="n"/>
      <c r="W580" s="16" t="n"/>
      <c r="X580" s="16" t="n"/>
      <c r="Y580" s="16" t="n"/>
      <c r="Z580" s="16" t="n"/>
      <c r="AA580" s="16" t="n"/>
    </row>
    <row r="581">
      <c r="A581" s="16" t="n"/>
      <c r="B581" s="16" t="n"/>
      <c r="C581" s="16" t="n"/>
      <c r="D581" s="16" t="n"/>
      <c r="E581" s="16" t="n"/>
      <c r="F581" s="16" t="n"/>
      <c r="G581" s="16" t="n"/>
      <c r="H581" s="16" t="n"/>
      <c r="I581" s="16" t="n"/>
      <c r="J581" s="16" t="n"/>
      <c r="K581" s="16" t="n"/>
      <c r="L581" s="16" t="n"/>
      <c r="M581" s="16" t="n"/>
      <c r="N581" s="16" t="n"/>
      <c r="O581" s="16" t="n"/>
      <c r="P581" s="16" t="n"/>
      <c r="Q581" s="16" t="n"/>
      <c r="R581" s="16" t="n"/>
      <c r="S581" s="16" t="n"/>
      <c r="T581" s="16" t="n"/>
      <c r="U581" s="16" t="n"/>
      <c r="V581" s="16" t="n"/>
      <c r="W581" s="16" t="n"/>
      <c r="X581" s="16" t="n"/>
      <c r="Y581" s="16" t="n"/>
      <c r="Z581" s="16" t="n"/>
      <c r="AA581" s="16" t="n"/>
    </row>
    <row r="582">
      <c r="A582" s="16" t="n"/>
      <c r="B582" s="16" t="n"/>
      <c r="C582" s="16" t="n"/>
      <c r="D582" s="16" t="n"/>
      <c r="E582" s="16" t="n"/>
      <c r="F582" s="16" t="n"/>
      <c r="G582" s="16" t="n"/>
      <c r="H582" s="16" t="n"/>
      <c r="I582" s="16" t="n"/>
      <c r="J582" s="16" t="n"/>
      <c r="K582" s="16" t="n"/>
      <c r="L582" s="16" t="n"/>
      <c r="M582" s="16" t="n"/>
      <c r="N582" s="16" t="n"/>
      <c r="O582" s="16" t="n"/>
      <c r="P582" s="16" t="n"/>
      <c r="Q582" s="16" t="n"/>
      <c r="R582" s="16" t="n"/>
      <c r="S582" s="16" t="n"/>
      <c r="T582" s="16" t="n"/>
      <c r="U582" s="16" t="n"/>
      <c r="V582" s="16" t="n"/>
      <c r="W582" s="16" t="n"/>
      <c r="X582" s="16" t="n"/>
      <c r="Y582" s="16" t="n"/>
      <c r="Z582" s="16" t="n"/>
      <c r="AA582" s="16" t="n"/>
    </row>
    <row r="583">
      <c r="A583" s="16" t="n"/>
      <c r="B583" s="16" t="n"/>
      <c r="C583" s="16" t="n"/>
      <c r="D583" s="16" t="n"/>
      <c r="E583" s="16" t="n"/>
      <c r="F583" s="16" t="n"/>
      <c r="G583" s="16" t="n"/>
      <c r="H583" s="16" t="n"/>
      <c r="I583" s="16" t="n"/>
      <c r="J583" s="16" t="n"/>
      <c r="K583" s="16" t="n"/>
      <c r="L583" s="16" t="n"/>
      <c r="M583" s="16" t="n"/>
      <c r="N583" s="16" t="n"/>
      <c r="O583" s="16" t="n"/>
      <c r="P583" s="16" t="n"/>
      <c r="Q583" s="16" t="n"/>
      <c r="R583" s="16" t="n"/>
      <c r="S583" s="16" t="n"/>
      <c r="T583" s="16" t="n"/>
      <c r="U583" s="16" t="n"/>
      <c r="V583" s="16" t="n"/>
      <c r="W583" s="16" t="n"/>
      <c r="X583" s="16" t="n"/>
      <c r="Y583" s="16" t="n"/>
      <c r="Z583" s="16" t="n"/>
      <c r="AA583" s="16" t="n"/>
    </row>
    <row r="584">
      <c r="A584" s="16" t="n"/>
      <c r="B584" s="16" t="n"/>
      <c r="C584" s="16" t="n"/>
      <c r="D584" s="16" t="n"/>
      <c r="E584" s="16" t="n"/>
      <c r="F584" s="16" t="n"/>
      <c r="G584" s="16" t="n"/>
      <c r="H584" s="16" t="n"/>
      <c r="I584" s="16" t="n"/>
      <c r="J584" s="16" t="n"/>
      <c r="K584" s="16" t="n"/>
      <c r="L584" s="16" t="n"/>
      <c r="M584" s="16" t="n"/>
      <c r="N584" s="16" t="n"/>
      <c r="O584" s="16" t="n"/>
      <c r="P584" s="16" t="n"/>
      <c r="Q584" s="16" t="n"/>
      <c r="R584" s="16" t="n"/>
      <c r="S584" s="16" t="n"/>
      <c r="T584" s="16" t="n"/>
      <c r="U584" s="16" t="n"/>
      <c r="V584" s="16" t="n"/>
      <c r="W584" s="16" t="n"/>
      <c r="X584" s="16" t="n"/>
      <c r="Y584" s="16" t="n"/>
      <c r="Z584" s="16" t="n"/>
      <c r="AA584" s="16" t="n"/>
    </row>
    <row r="585">
      <c r="A585" s="16" t="n"/>
      <c r="B585" s="16" t="n"/>
      <c r="C585" s="16" t="n"/>
      <c r="D585" s="16" t="n"/>
      <c r="E585" s="16" t="n"/>
      <c r="F585" s="16" t="n"/>
      <c r="G585" s="16" t="n"/>
      <c r="H585" s="16" t="n"/>
      <c r="I585" s="16" t="n"/>
      <c r="J585" s="16" t="n"/>
      <c r="K585" s="16" t="n"/>
      <c r="L585" s="16" t="n"/>
      <c r="M585" s="16" t="n"/>
      <c r="N585" s="16" t="n"/>
      <c r="O585" s="16" t="n"/>
      <c r="P585" s="16" t="n"/>
      <c r="Q585" s="16" t="n"/>
      <c r="R585" s="16" t="n"/>
      <c r="S585" s="16" t="n"/>
      <c r="T585" s="16" t="n"/>
      <c r="U585" s="16" t="n"/>
      <c r="V585" s="16" t="n"/>
      <c r="W585" s="16" t="n"/>
      <c r="X585" s="16" t="n"/>
      <c r="Y585" s="16" t="n"/>
      <c r="Z585" s="16" t="n"/>
      <c r="AA585" s="16" t="n"/>
    </row>
    <row r="586">
      <c r="A586" s="16" t="n"/>
      <c r="B586" s="16" t="n"/>
      <c r="C586" s="16" t="n"/>
      <c r="D586" s="16" t="n"/>
      <c r="E586" s="16" t="n"/>
      <c r="F586" s="16" t="n"/>
      <c r="G586" s="16" t="n"/>
      <c r="H586" s="16" t="n"/>
      <c r="I586" s="16" t="n"/>
      <c r="J586" s="16" t="n"/>
      <c r="K586" s="16" t="n"/>
      <c r="L586" s="16" t="n"/>
      <c r="M586" s="16" t="n"/>
      <c r="N586" s="16" t="n"/>
      <c r="O586" s="16" t="n"/>
      <c r="P586" s="16" t="n"/>
      <c r="Q586" s="16" t="n"/>
      <c r="R586" s="16" t="n"/>
      <c r="S586" s="16" t="n"/>
      <c r="T586" s="16" t="n"/>
      <c r="U586" s="16" t="n"/>
      <c r="V586" s="16" t="n"/>
      <c r="W586" s="16" t="n"/>
      <c r="X586" s="16" t="n"/>
      <c r="Y586" s="16" t="n"/>
      <c r="Z586" s="16" t="n"/>
      <c r="AA586" s="16" t="n"/>
    </row>
    <row r="587">
      <c r="A587" s="16" t="n"/>
      <c r="B587" s="16" t="n"/>
      <c r="C587" s="16" t="n"/>
      <c r="D587" s="16" t="n"/>
      <c r="E587" s="16" t="n"/>
      <c r="F587" s="16" t="n"/>
      <c r="G587" s="16" t="n"/>
      <c r="H587" s="16" t="n"/>
      <c r="I587" s="16" t="n"/>
      <c r="J587" s="16" t="n"/>
      <c r="K587" s="16" t="n"/>
      <c r="L587" s="16" t="n"/>
      <c r="M587" s="16" t="n"/>
      <c r="N587" s="16" t="n"/>
      <c r="O587" s="16" t="n"/>
      <c r="P587" s="16" t="n"/>
      <c r="Q587" s="16" t="n"/>
      <c r="R587" s="16" t="n"/>
      <c r="S587" s="16" t="n"/>
      <c r="T587" s="16" t="n"/>
      <c r="U587" s="16" t="n"/>
      <c r="V587" s="16" t="n"/>
      <c r="W587" s="16" t="n"/>
      <c r="X587" s="16" t="n"/>
      <c r="Y587" s="16" t="n"/>
      <c r="Z587" s="16" t="n"/>
      <c r="AA587" s="16" t="n"/>
    </row>
    <row r="588">
      <c r="A588" s="16" t="n"/>
      <c r="B588" s="16" t="n"/>
      <c r="C588" s="16" t="n"/>
      <c r="D588" s="16" t="n"/>
      <c r="E588" s="16" t="n"/>
      <c r="F588" s="16" t="n"/>
      <c r="G588" s="16" t="n"/>
      <c r="H588" s="16" t="n"/>
      <c r="I588" s="16" t="n"/>
      <c r="J588" s="16" t="n"/>
      <c r="K588" s="16" t="n"/>
      <c r="L588" s="16" t="n"/>
      <c r="M588" s="16" t="n"/>
      <c r="N588" s="16" t="n"/>
      <c r="O588" s="16" t="n"/>
      <c r="P588" s="16" t="n"/>
      <c r="Q588" s="16" t="n"/>
      <c r="R588" s="16" t="n"/>
      <c r="S588" s="16" t="n"/>
      <c r="T588" s="16" t="n"/>
      <c r="U588" s="16" t="n"/>
      <c r="V588" s="16" t="n"/>
      <c r="W588" s="16" t="n"/>
      <c r="X588" s="16" t="n"/>
      <c r="Y588" s="16" t="n"/>
      <c r="Z588" s="16" t="n"/>
      <c r="AA588" s="16" t="n"/>
    </row>
    <row r="589">
      <c r="A589" s="16" t="n"/>
      <c r="B589" s="16" t="n"/>
      <c r="C589" s="16" t="n"/>
      <c r="D589" s="16" t="n"/>
      <c r="E589" s="16" t="n"/>
      <c r="F589" s="16" t="n"/>
      <c r="G589" s="16" t="n"/>
      <c r="H589" s="16" t="n"/>
      <c r="I589" s="16" t="n"/>
      <c r="J589" s="16" t="n"/>
      <c r="K589" s="16" t="n"/>
      <c r="L589" s="16" t="n"/>
      <c r="M589" s="16" t="n"/>
      <c r="N589" s="16" t="n"/>
      <c r="O589" s="16" t="n"/>
      <c r="P589" s="16" t="n"/>
      <c r="Q589" s="16" t="n"/>
      <c r="R589" s="16" t="n"/>
      <c r="S589" s="16" t="n"/>
      <c r="T589" s="16" t="n"/>
      <c r="U589" s="16" t="n"/>
      <c r="V589" s="16" t="n"/>
      <c r="W589" s="16" t="n"/>
      <c r="X589" s="16" t="n"/>
      <c r="Y589" s="16" t="n"/>
      <c r="Z589" s="16" t="n"/>
      <c r="AA589" s="16" t="n"/>
    </row>
    <row r="590">
      <c r="A590" s="16" t="n"/>
      <c r="B590" s="16" t="n"/>
      <c r="C590" s="16" t="n"/>
      <c r="D590" s="16" t="n"/>
      <c r="E590" s="16" t="n"/>
      <c r="F590" s="16" t="n"/>
      <c r="G590" s="16" t="n"/>
      <c r="H590" s="16" t="n"/>
      <c r="I590" s="16" t="n"/>
      <c r="J590" s="16" t="n"/>
      <c r="K590" s="16" t="n"/>
      <c r="L590" s="16" t="n"/>
      <c r="M590" s="16" t="n"/>
      <c r="N590" s="16" t="n"/>
      <c r="O590" s="16" t="n"/>
      <c r="P590" s="16" t="n"/>
      <c r="Q590" s="16" t="n"/>
      <c r="R590" s="16" t="n"/>
      <c r="S590" s="16" t="n"/>
      <c r="T590" s="16" t="n"/>
      <c r="U590" s="16" t="n"/>
      <c r="V590" s="16" t="n"/>
      <c r="W590" s="16" t="n"/>
      <c r="X590" s="16" t="n"/>
      <c r="Y590" s="16" t="n"/>
      <c r="Z590" s="16" t="n"/>
      <c r="AA590" s="16" t="n"/>
    </row>
    <row r="591">
      <c r="A591" s="16" t="n"/>
      <c r="B591" s="16" t="n"/>
      <c r="C591" s="16" t="n"/>
      <c r="D591" s="16" t="n"/>
      <c r="E591" s="16" t="n"/>
      <c r="F591" s="16" t="n"/>
      <c r="G591" s="16" t="n"/>
      <c r="H591" s="16" t="n"/>
      <c r="I591" s="16" t="n"/>
      <c r="J591" s="16" t="n"/>
      <c r="K591" s="16" t="n"/>
      <c r="L591" s="16" t="n"/>
      <c r="M591" s="16" t="n"/>
      <c r="N591" s="16" t="n"/>
      <c r="O591" s="16" t="n"/>
      <c r="P591" s="16" t="n"/>
      <c r="Q591" s="16" t="n"/>
      <c r="R591" s="16" t="n"/>
      <c r="S591" s="16" t="n"/>
      <c r="T591" s="16" t="n"/>
      <c r="U591" s="16" t="n"/>
      <c r="V591" s="16" t="n"/>
      <c r="W591" s="16" t="n"/>
      <c r="X591" s="16" t="n"/>
      <c r="Y591" s="16" t="n"/>
      <c r="Z591" s="16" t="n"/>
      <c r="AA591" s="16" t="n"/>
    </row>
    <row r="592">
      <c r="A592" s="16" t="n"/>
      <c r="B592" s="16" t="n"/>
      <c r="C592" s="16" t="n"/>
      <c r="D592" s="16" t="n"/>
      <c r="E592" s="16" t="n"/>
      <c r="F592" s="16" t="n"/>
      <c r="G592" s="16" t="n"/>
      <c r="H592" s="16" t="n"/>
      <c r="I592" s="16" t="n"/>
      <c r="J592" s="16" t="n"/>
      <c r="K592" s="16" t="n"/>
      <c r="L592" s="16" t="n"/>
      <c r="M592" s="16" t="n"/>
      <c r="N592" s="16" t="n"/>
      <c r="O592" s="16" t="n"/>
      <c r="P592" s="16" t="n"/>
      <c r="Q592" s="16" t="n"/>
      <c r="R592" s="16" t="n"/>
      <c r="S592" s="16" t="n"/>
      <c r="T592" s="16" t="n"/>
      <c r="U592" s="16" t="n"/>
      <c r="V592" s="16" t="n"/>
      <c r="W592" s="16" t="n"/>
      <c r="X592" s="16" t="n"/>
      <c r="Y592" s="16" t="n"/>
      <c r="Z592" s="16" t="n"/>
      <c r="AA592" s="16" t="n"/>
    </row>
    <row r="593">
      <c r="A593" s="16" t="n"/>
      <c r="B593" s="16" t="n"/>
      <c r="C593" s="16" t="n"/>
      <c r="D593" s="16" t="n"/>
      <c r="E593" s="16" t="n"/>
      <c r="F593" s="16" t="n"/>
      <c r="G593" s="16" t="n"/>
      <c r="H593" s="16" t="n"/>
      <c r="I593" s="16" t="n"/>
      <c r="J593" s="16" t="n"/>
      <c r="K593" s="16" t="n"/>
      <c r="L593" s="16" t="n"/>
      <c r="M593" s="16" t="n"/>
      <c r="N593" s="16" t="n"/>
      <c r="O593" s="16" t="n"/>
      <c r="P593" s="16" t="n"/>
      <c r="Q593" s="16" t="n"/>
      <c r="R593" s="16" t="n"/>
      <c r="S593" s="16" t="n"/>
      <c r="T593" s="16" t="n"/>
      <c r="U593" s="16" t="n"/>
      <c r="V593" s="16" t="n"/>
      <c r="W593" s="16" t="n"/>
      <c r="X593" s="16" t="n"/>
      <c r="Y593" s="16" t="n"/>
      <c r="Z593" s="16" t="n"/>
      <c r="AA593" s="16" t="n"/>
    </row>
    <row r="594">
      <c r="A594" s="16" t="n"/>
      <c r="B594" s="16" t="n"/>
      <c r="C594" s="16" t="n"/>
      <c r="D594" s="16" t="n"/>
      <c r="E594" s="16" t="n"/>
      <c r="F594" s="16" t="n"/>
      <c r="G594" s="16" t="n"/>
      <c r="H594" s="16" t="n"/>
      <c r="I594" s="16" t="n"/>
      <c r="J594" s="16" t="n"/>
      <c r="K594" s="16" t="n"/>
      <c r="L594" s="16" t="n"/>
      <c r="M594" s="16" t="n"/>
      <c r="N594" s="16" t="n"/>
      <c r="O594" s="16" t="n"/>
      <c r="P594" s="16" t="n"/>
      <c r="Q594" s="16" t="n"/>
      <c r="R594" s="16" t="n"/>
      <c r="S594" s="16" t="n"/>
      <c r="T594" s="16" t="n"/>
      <c r="U594" s="16" t="n"/>
      <c r="V594" s="16" t="n"/>
      <c r="W594" s="16" t="n"/>
      <c r="X594" s="16" t="n"/>
      <c r="Y594" s="16" t="n"/>
      <c r="Z594" s="16" t="n"/>
      <c r="AA594" s="16" t="n"/>
    </row>
    <row r="595">
      <c r="A595" s="16" t="n"/>
      <c r="B595" s="16" t="n"/>
      <c r="C595" s="16" t="n"/>
      <c r="D595" s="16" t="n"/>
      <c r="E595" s="16" t="n"/>
      <c r="F595" s="16" t="n"/>
      <c r="G595" s="16" t="n"/>
      <c r="H595" s="16" t="n"/>
      <c r="I595" s="16" t="n"/>
      <c r="J595" s="16" t="n"/>
      <c r="K595" s="16" t="n"/>
      <c r="L595" s="16" t="n"/>
      <c r="M595" s="16" t="n"/>
      <c r="N595" s="16" t="n"/>
      <c r="O595" s="16" t="n"/>
      <c r="P595" s="16" t="n"/>
      <c r="Q595" s="16" t="n"/>
      <c r="R595" s="16" t="n"/>
      <c r="S595" s="16" t="n"/>
      <c r="T595" s="16" t="n"/>
      <c r="U595" s="16" t="n"/>
      <c r="V595" s="16" t="n"/>
      <c r="W595" s="16" t="n"/>
      <c r="X595" s="16" t="n"/>
      <c r="Y595" s="16" t="n"/>
      <c r="Z595" s="16" t="n"/>
      <c r="AA595" s="16" t="n"/>
    </row>
    <row r="596">
      <c r="A596" s="16" t="n"/>
      <c r="B596" s="16" t="n"/>
      <c r="C596" s="16" t="n"/>
      <c r="D596" s="16" t="n"/>
      <c r="E596" s="16" t="n"/>
      <c r="F596" s="16" t="n"/>
      <c r="G596" s="16" t="n"/>
      <c r="H596" s="16" t="n"/>
      <c r="I596" s="16" t="n"/>
      <c r="J596" s="16" t="n"/>
      <c r="K596" s="16" t="n"/>
      <c r="L596" s="16" t="n"/>
      <c r="M596" s="16" t="n"/>
      <c r="N596" s="16" t="n"/>
      <c r="O596" s="16" t="n"/>
      <c r="P596" s="16" t="n"/>
      <c r="Q596" s="16" t="n"/>
      <c r="R596" s="16" t="n"/>
      <c r="S596" s="16" t="n"/>
      <c r="T596" s="16" t="n"/>
      <c r="U596" s="16" t="n"/>
      <c r="V596" s="16" t="n"/>
      <c r="W596" s="16" t="n"/>
      <c r="X596" s="16" t="n"/>
      <c r="Y596" s="16" t="n"/>
      <c r="Z596" s="16" t="n"/>
      <c r="AA596" s="16" t="n"/>
    </row>
    <row r="597">
      <c r="A597" s="16" t="n"/>
      <c r="B597" s="16" t="n"/>
      <c r="C597" s="16" t="n"/>
      <c r="D597" s="16" t="n"/>
      <c r="E597" s="16" t="n"/>
      <c r="F597" s="16" t="n"/>
      <c r="G597" s="16" t="n"/>
      <c r="H597" s="16" t="n"/>
      <c r="I597" s="16" t="n"/>
      <c r="J597" s="16" t="n"/>
      <c r="K597" s="16" t="n"/>
      <c r="L597" s="16" t="n"/>
      <c r="M597" s="16" t="n"/>
      <c r="N597" s="16" t="n"/>
      <c r="O597" s="16" t="n"/>
      <c r="P597" s="16" t="n"/>
      <c r="Q597" s="16" t="n"/>
      <c r="R597" s="16" t="n"/>
      <c r="S597" s="16" t="n"/>
      <c r="T597" s="16" t="n"/>
      <c r="U597" s="16" t="n"/>
      <c r="V597" s="16" t="n"/>
      <c r="W597" s="16" t="n"/>
      <c r="X597" s="16" t="n"/>
      <c r="Y597" s="16" t="n"/>
      <c r="Z597" s="16" t="n"/>
      <c r="AA597" s="16" t="n"/>
    </row>
    <row r="598">
      <c r="A598" s="16" t="n"/>
      <c r="B598" s="16" t="n"/>
      <c r="C598" s="16" t="n"/>
      <c r="D598" s="16" t="n"/>
      <c r="E598" s="16" t="n"/>
      <c r="F598" s="16" t="n"/>
      <c r="G598" s="16" t="n"/>
      <c r="H598" s="16" t="n"/>
      <c r="I598" s="16" t="n"/>
      <c r="J598" s="16" t="n"/>
      <c r="K598" s="16" t="n"/>
      <c r="L598" s="16" t="n"/>
      <c r="M598" s="16" t="n"/>
      <c r="N598" s="16" t="n"/>
      <c r="O598" s="16" t="n"/>
      <c r="P598" s="16" t="n"/>
      <c r="Q598" s="16" t="n"/>
      <c r="R598" s="16" t="n"/>
      <c r="S598" s="16" t="n"/>
      <c r="T598" s="16" t="n"/>
      <c r="U598" s="16" t="n"/>
      <c r="V598" s="16" t="n"/>
      <c r="W598" s="16" t="n"/>
      <c r="X598" s="16" t="n"/>
      <c r="Y598" s="16" t="n"/>
      <c r="Z598" s="16" t="n"/>
      <c r="AA598" s="16" t="n"/>
    </row>
    <row r="599">
      <c r="A599" s="16" t="n"/>
      <c r="B599" s="16" t="n"/>
      <c r="C599" s="16" t="n"/>
      <c r="D599" s="16" t="n"/>
      <c r="E599" s="16" t="n"/>
      <c r="F599" s="16" t="n"/>
      <c r="G599" s="16" t="n"/>
      <c r="H599" s="16" t="n"/>
      <c r="I599" s="16" t="n"/>
      <c r="J599" s="16" t="n"/>
      <c r="K599" s="16" t="n"/>
      <c r="L599" s="16" t="n"/>
      <c r="M599" s="16" t="n"/>
      <c r="N599" s="16" t="n"/>
      <c r="O599" s="16" t="n"/>
      <c r="P599" s="16" t="n"/>
      <c r="Q599" s="16" t="n"/>
      <c r="R599" s="16" t="n"/>
      <c r="S599" s="16" t="n"/>
      <c r="T599" s="16" t="n"/>
      <c r="U599" s="16" t="n"/>
      <c r="V599" s="16" t="n"/>
      <c r="W599" s="16" t="n"/>
      <c r="X599" s="16" t="n"/>
      <c r="Y599" s="16" t="n"/>
      <c r="Z599" s="16" t="n"/>
      <c r="AA599" s="16" t="n"/>
    </row>
    <row r="600">
      <c r="A600" s="16" t="n"/>
      <c r="B600" s="16" t="n"/>
      <c r="C600" s="16" t="n"/>
      <c r="D600" s="16" t="n"/>
      <c r="E600" s="16" t="n"/>
      <c r="F600" s="16" t="n"/>
      <c r="G600" s="16" t="n"/>
      <c r="H600" s="16" t="n"/>
      <c r="I600" s="16" t="n"/>
      <c r="J600" s="16" t="n"/>
      <c r="K600" s="16" t="n"/>
      <c r="L600" s="16" t="n"/>
      <c r="M600" s="16" t="n"/>
      <c r="N600" s="16" t="n"/>
      <c r="O600" s="16" t="n"/>
      <c r="P600" s="16" t="n"/>
      <c r="Q600" s="16" t="n"/>
      <c r="R600" s="16" t="n"/>
      <c r="S600" s="16" t="n"/>
      <c r="T600" s="16" t="n"/>
      <c r="U600" s="16" t="n"/>
      <c r="V600" s="16" t="n"/>
      <c r="W600" s="16" t="n"/>
      <c r="X600" s="16" t="n"/>
      <c r="Y600" s="16" t="n"/>
      <c r="Z600" s="16" t="n"/>
      <c r="AA600" s="16" t="n"/>
    </row>
  </sheetData>
  <autoFilter ref="A2:AA2"/>
  <mergeCells count="1">
    <mergeCell ref="A1:AA1"/>
  </mergeCells>
  <conditionalFormatting sqref="T3:T6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3">
      <formula>"N-A"</formula>
    </cfRule>
  </conditionalFormatting>
  <conditionalFormatting sqref="U3:U600">
    <cfRule type="cellIs" priority="6" operator="equal" dxfId="1">
      <formula>"Critical"</formula>
    </cfRule>
    <cfRule type="cellIs" priority="7" operator="equal" dxfId="2">
      <formula>"Major"</formula>
    </cfRule>
  </conditionalFormatting>
  <conditionalFormatting sqref="Y3:Y600">
    <cfRule type="cellIs" priority="8" operator="equal" dxfId="0">
      <formula>"PASS"</formula>
    </cfRule>
    <cfRule type="cellIs" priority="9" operator="equal" dxfId="1">
      <formula>"FAIL"</formula>
    </cfRule>
  </conditionalFormatting>
  <dataValidations count="8">
    <dataValidation sqref="E3:E600" showDropDown="0" showInputMessage="0" showErrorMessage="0" allowBlank="1" type="list">
      <formula1>=Lists!$G$2:$G$6</formula1>
    </dataValidation>
    <dataValidation sqref="F3:F600" showDropDown="0" showInputMessage="0" showErrorMessage="0" allowBlank="1" type="list">
      <formula1>=Lists!$H$2:$H$9</formula1>
    </dataValidation>
    <dataValidation sqref="K3:K600" showDropDown="0" showInputMessage="0" showErrorMessage="0" allowBlank="1" type="list">
      <formula1>=Lists!$D$2:$D$29</formula1>
    </dataValidation>
    <dataValidation sqref="M3:M600" showDropDown="0" showInputMessage="0" showErrorMessage="0" allowBlank="1" type="list">
      <formula1>=Lists!$F$2:$F$9</formula1>
    </dataValidation>
    <dataValidation sqref="T3:T600" showDropDown="0" showInputMessage="0" showErrorMessage="0" allowBlank="1" type="list">
      <formula1>=Lists!$A$2:$A$6</formula1>
    </dataValidation>
    <dataValidation sqref="U3:U600" showDropDown="0" showInputMessage="0" showErrorMessage="0" allowBlank="1" type="list">
      <formula1>=Lists!$B$2:$B$5</formula1>
    </dataValidation>
    <dataValidation sqref="V3:V600" showDropDown="0" showInputMessage="0" showErrorMessage="0" allowBlank="1" type="list">
      <formula1>=Lists!$C$2:$C$5</formula1>
    </dataValidation>
    <dataValidation sqref="Y3:Y600" showDropDown="0" showInputMessage="0" showErrorMessage="0" allowBlank="1" type="list">
      <formula1>=Lists!$K$2:$K$4</formula1>
    </dataValidation>
  </dataValidations>
  <pageMargins left="0.75" right="0.75" top="1" bottom="1" header="0.5" footer="0.5"/>
</worksheet>
</file>

<file path=xl/worksheets/sheet4.xml><?xml version="1.0" encoding="utf-8"?>
<worksheet xmlns="http://schemas.openxmlformats.org/spreadsheetml/2006/main">
  <sheetPr>
    <tabColor rgb="009C0006"/>
    <outlinePr summaryBelow="1" summaryRight="1"/>
    <pageSetUpPr/>
  </sheetPr>
  <dimension ref="A1:Z400"/>
  <sheetViews>
    <sheetView workbookViewId="0">
      <pane xSplit="5" ySplit="2" topLeftCell="F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2" customWidth="1" min="2" max="2"/>
    <col width="12" customWidth="1" min="3" max="3"/>
    <col width="12" customWidth="1" min="4" max="4"/>
    <col width="15" customWidth="1" min="5" max="5"/>
    <col width="18" customWidth="1" min="6" max="6"/>
    <col width="18" customWidth="1" min="7" max="7"/>
    <col width="22" customWidth="1" min="8" max="8"/>
    <col width="24" customWidth="1" min="9" max="9"/>
    <col width="13" customWidth="1" min="10" max="10"/>
    <col width="40" customWidth="1" min="11" max="11"/>
    <col width="40" customWidth="1" min="12" max="12"/>
    <col width="34" customWidth="1" min="13" max="13"/>
    <col width="34" customWidth="1" min="14" max="14"/>
    <col width="11" customWidth="1" min="15" max="15"/>
    <col width="15" customWidth="1" min="16" max="16"/>
    <col width="15" customWidth="1" min="17" max="17"/>
    <col width="14" customWidth="1" min="18" max="18"/>
    <col width="17" customWidth="1" min="19" max="19"/>
    <col width="22" customWidth="1" min="20" max="20"/>
    <col width="16" customWidth="1" min="21" max="21"/>
    <col width="13" customWidth="1" min="22" max="22"/>
    <col width="14" customWidth="1" min="23" max="23"/>
    <col width="12" customWidth="1" min="24" max="24"/>
    <col width="28" customWidth="1" min="25" max="25"/>
    <col width="26" customWidth="1" min="26" max="26"/>
  </cols>
  <sheetData>
    <row r="1" ht="26" customHeight="1">
      <c r="A1" s="13" t="inlineStr">
        <is>
          <t>DEFECT LOG — one row per bug.  Severity = how bad the damage (tester decides).  Priority = how fast to fix (owner decides).  They are not the same.</t>
        </is>
      </c>
    </row>
    <row r="2" ht="42" customHeight="1">
      <c r="A2" s="14" t="inlineStr">
        <is>
          <t>Defect ID</t>
        </is>
      </c>
      <c r="B2" s="14" t="inlineStr">
        <is>
          <t>Date found</t>
        </is>
      </c>
      <c r="C2" s="14" t="inlineStr">
        <is>
          <t>Found by</t>
        </is>
      </c>
      <c r="D2" s="14" t="inlineStr">
        <is>
          <t>Linked Test ID</t>
        </is>
      </c>
      <c r="E2" s="14" t="inlineStr">
        <is>
          <t>Build / Commit</t>
        </is>
      </c>
      <c r="F2" s="14" t="inlineStr">
        <is>
          <t>Module / Feature</t>
        </is>
      </c>
      <c r="G2" s="14" t="inlineStr">
        <is>
          <t>Screen / Page</t>
        </is>
      </c>
      <c r="H2" s="14" t="inlineStr">
        <is>
          <t>Route (URL)</t>
        </is>
      </c>
      <c r="I2" s="14" t="inlineStr">
        <is>
          <t>Element</t>
        </is>
      </c>
      <c r="J2" s="14" t="inlineStr">
        <is>
          <t>Role</t>
        </is>
      </c>
      <c r="K2" s="14" t="inlineStr">
        <is>
          <t>Summary (one line)</t>
        </is>
      </c>
      <c r="L2" s="14" t="inlineStr">
        <is>
          <t>Steps to reproduce</t>
        </is>
      </c>
      <c r="M2" s="14" t="inlineStr">
        <is>
          <t>Expected result</t>
        </is>
      </c>
      <c r="N2" s="14" t="inlineStr">
        <is>
          <t>Actual result</t>
        </is>
      </c>
      <c r="O2" s="14" t="inlineStr">
        <is>
          <t>Severity</t>
        </is>
      </c>
      <c r="P2" s="14" t="inlineStr">
        <is>
          <t>Priority</t>
        </is>
      </c>
      <c r="Q2" s="14" t="inlineStr">
        <is>
          <t>Reproducibility</t>
        </is>
      </c>
      <c r="R2" s="14" t="inlineStr">
        <is>
          <t>Environment</t>
        </is>
      </c>
      <c r="S2" s="14" t="inlineStr">
        <is>
          <t>Browser / Device</t>
        </is>
      </c>
      <c r="T2" s="14" t="inlineStr">
        <is>
          <t>Evidence</t>
        </is>
      </c>
      <c r="U2" s="14" t="inlineStr">
        <is>
          <t>Status</t>
        </is>
      </c>
      <c r="V2" s="14" t="inlineStr">
        <is>
          <t>Assigned to</t>
        </is>
      </c>
      <c r="W2" s="14" t="inlineStr">
        <is>
          <t>Fixed in build</t>
        </is>
      </c>
      <c r="X2" s="14" t="inlineStr">
        <is>
          <t>Date closed</t>
        </is>
      </c>
      <c r="Y2" s="14" t="inlineStr">
        <is>
          <t>Root cause</t>
        </is>
      </c>
      <c r="Z2" s="14" t="inlineStr">
        <is>
          <t>Comments</t>
        </is>
      </c>
    </row>
    <row r="3" ht="92" customHeight="1">
      <c r="A3" s="16" t="inlineStr">
        <is>
          <t>DEF-001</t>
        </is>
      </c>
      <c r="B3" s="16">
        <f>TODAY()</f>
        <v/>
      </c>
      <c r="C3" s="16" t="inlineStr">
        <is>
          <t>Othman</t>
        </is>
      </c>
      <c r="D3" s="16" t="inlineStr">
        <is>
          <t>(raw note 11)</t>
        </is>
      </c>
      <c r="E3" s="16" t="inlineStr">
        <is>
          <t>50d4c48</t>
        </is>
      </c>
      <c r="F3" s="16" t="inlineStr">
        <is>
          <t>Landing &amp; Login</t>
        </is>
      </c>
      <c r="G3" s="16" t="inlineStr">
        <is>
          <t>Login</t>
        </is>
      </c>
      <c r="H3" s="16" t="inlineStr">
        <is>
          <t>#/login</t>
        </is>
      </c>
      <c r="I3" s="16" t="inlineStr">
        <is>
          <t>Whole page</t>
        </is>
      </c>
      <c r="J3" s="16" t="inlineStr">
        <is>
          <t>all</t>
        </is>
      </c>
      <c r="K3" s="16" t="inlineStr">
        <is>
          <t>The login page does not fit the browser window</t>
        </is>
      </c>
      <c r="L3" s="16" t="inlineStr">
        <is>
          <t>1. Open #/login on a desktop browser
2. Observe the page against the window edges
3. Resize the window</t>
        </is>
      </c>
      <c r="M3" s="16" t="inlineStr">
        <is>
          <t>The page fits the viewport at every width, with no horizontal scrollbar and no clipped content.</t>
        </is>
      </c>
      <c r="N3" s="16" t="inlineStr">
        <is>
          <t>The layout does not fit the browser window; the page reads as broken.</t>
        </is>
      </c>
      <c r="O3" s="16" t="inlineStr">
        <is>
          <t>Major</t>
        </is>
      </c>
      <c r="P3" s="16" t="inlineStr">
        <is>
          <t>P2 - High</t>
        </is>
      </c>
      <c r="Q3" s="16" t="inlineStr">
        <is>
          <t>Always</t>
        </is>
      </c>
      <c r="R3" s="16" t="inlineStr">
        <is>
          <t>edu.kogiagroup.com</t>
        </is>
      </c>
      <c r="S3" s="16" t="inlineStr">
        <is>
          <t>Desktop Chrome</t>
        </is>
      </c>
      <c r="T3" s="16" t="inlineStr"/>
      <c r="U3" s="21" t="inlineStr">
        <is>
          <t>CLOSED</t>
        </is>
      </c>
      <c r="V3" s="16" t="inlineStr">
        <is>
          <t>Othman</t>
        </is>
      </c>
      <c r="W3" s="16" t="inlineStr">
        <is>
          <t>42601e8</t>
        </is>
      </c>
      <c r="X3" s="16" t="inlineStr">
        <is>
          <t>2026-07-22</t>
        </is>
      </c>
      <c r="Y3" s="16" t="inlineStr"/>
      <c r="Z3" s="16" t="inlineStr">
        <is>
          <t>Majeur → confirmé MOBILE UNIQUEMENT. Aucun débordement sur ordinateur (1280/1366/1440/1920 = 0). Cause : halo décoratif de 440px sans overflow-hidden. Le grief « ne rentre pas » sur grand écran est un sujet de DESIGN, suivi en CR-011.</t>
        </is>
      </c>
    </row>
    <row r="4" ht="92" customHeight="1">
      <c r="A4" s="16" t="inlineStr">
        <is>
          <t>DEF-002</t>
        </is>
      </c>
      <c r="B4" s="16">
        <f>TODAY()</f>
        <v/>
      </c>
      <c r="C4" s="16" t="inlineStr">
        <is>
          <t>Othman</t>
        </is>
      </c>
      <c r="D4" s="16" t="inlineStr">
        <is>
          <t>(raw note 15)</t>
        </is>
      </c>
      <c r="E4" s="16" t="inlineStr">
        <is>
          <t>50d4c48</t>
        </is>
      </c>
      <c r="F4" s="16" t="inlineStr">
        <is>
          <t>Dashboard</t>
        </is>
      </c>
      <c r="G4" s="16" t="inlineStr">
        <is>
          <t>Dashboard</t>
        </is>
      </c>
      <c r="H4" s="16" t="inlineStr">
        <is>
          <t>#/app</t>
        </is>
      </c>
      <c r="I4" s="16" t="inlineStr">
        <is>
          <t>Several tiles / elements</t>
        </is>
      </c>
      <c r="J4" s="16" t="inlineStr">
        <is>
          <t>owner</t>
        </is>
      </c>
      <c r="K4" s="16" t="inlineStr">
        <is>
          <t>Several dashboard elements are not clickable</t>
        </is>
      </c>
      <c r="L4" s="16" t="inlineStr">
        <is>
          <t>1. Log in as owner@kogia.tn
2. Open #/app
3. Click each tile, figure and card in turn
4. Note every one that does nothing</t>
        </is>
      </c>
      <c r="M4" s="16" t="inlineStr">
        <is>
          <t>Every tile and figure either opens a modal, navigates somewhere, or is visibly non-interactive by design.</t>
        </is>
      </c>
      <c r="N4" s="16" t="inlineStr">
        <is>
          <t>Some elements look clickable but do nothing when clicked.</t>
        </is>
      </c>
      <c r="O4" s="16" t="inlineStr">
        <is>
          <t>Major</t>
        </is>
      </c>
      <c r="P4" s="16" t="inlineStr">
        <is>
          <t>P2 - High</t>
        </is>
      </c>
      <c r="Q4" s="16" t="inlineStr">
        <is>
          <t>Always</t>
        </is>
      </c>
      <c r="R4" s="16" t="inlineStr">
        <is>
          <t>edu.kogiagroup.com</t>
        </is>
      </c>
      <c r="S4" s="16" t="inlineStr">
        <is>
          <t>Desktop Chrome</t>
        </is>
      </c>
      <c r="T4" s="16" t="inlineStr"/>
      <c r="U4" s="21" t="inlineStr">
        <is>
          <t>CLOSED</t>
        </is>
      </c>
      <c r="V4" s="16" t="inlineStr">
        <is>
          <t>Othman</t>
        </is>
      </c>
      <c r="W4" s="16" t="inlineStr">
        <is>
          <t>42601e8</t>
        </is>
      </c>
      <c r="X4" s="16" t="inlineStr">
        <is>
          <t>2026-07-22</t>
        </is>
      </c>
      <c r="Y4" s="16" t="inlineStr"/>
      <c r="Z4" s="16" t="inlineStr">
        <is>
          <t>Requalifié. Aucun élément TROMPEUR sur les 7 tableaux de bord. Réel : 3 chiffres de la console plateforme sans `to` ni `onClick` → rendus en &lt;div&gt; inerte. Les 4 mènent désormais à #/app/schools (vérifié en production).</t>
        </is>
      </c>
    </row>
    <row r="5" ht="92" customHeight="1">
      <c r="A5" s="16" t="inlineStr">
        <is>
          <t>DEF-003</t>
        </is>
      </c>
      <c r="B5" s="16">
        <f>TODAY()</f>
        <v/>
      </c>
      <c r="C5" s="16" t="inlineStr">
        <is>
          <t>Othman</t>
        </is>
      </c>
      <c r="D5" s="16" t="inlineStr">
        <is>
          <t>(raw note 6)</t>
        </is>
      </c>
      <c r="E5" s="16" t="inlineStr">
        <is>
          <t>50d4c48</t>
        </is>
      </c>
      <c r="F5" s="16" t="inlineStr">
        <is>
          <t>Landing &amp; Login</t>
        </is>
      </c>
      <c r="G5" s="16" t="inlineStr">
        <is>
          <t>Landing</t>
        </is>
      </c>
      <c r="H5" s="16" t="inlineStr">
        <is>
          <t>#/</t>
        </is>
      </c>
      <c r="I5" s="16" t="inlineStr">
        <is>
          <t>Anchor nav: Deux mondes / Modules / Vos données / Tarifs / FAQ</t>
        </is>
      </c>
      <c r="J5" s="16" t="inlineStr">
        <is>
          <t>public</t>
        </is>
      </c>
      <c r="K5" s="16" t="inlineStr">
        <is>
          <t>Landing anchor navigation gives no feedback that anything happened</t>
        </is>
      </c>
      <c r="L5" s="16" t="inlineStr">
        <is>
          <t>1. Open the landing page
2. Click 'Modules' in the nav
3. Observe the nav and the URL</t>
        </is>
      </c>
      <c r="M5" s="16" t="inlineStr">
        <is>
          <t>The clicked item is visibly marked as active and the user can tell the view changed.</t>
        </is>
      </c>
      <c r="N5" s="16" t="inlineStr">
        <is>
          <t>The page only scrolls; nothing in the nav changes, so the click feels like it did nothing.</t>
        </is>
      </c>
      <c r="O5" s="16" t="inlineStr">
        <is>
          <t>Minor</t>
        </is>
      </c>
      <c r="P5" s="16" t="inlineStr">
        <is>
          <t>P3 - Medium</t>
        </is>
      </c>
      <c r="Q5" s="16" t="inlineStr">
        <is>
          <t>Always</t>
        </is>
      </c>
      <c r="R5" s="16" t="inlineStr">
        <is>
          <t>edu.kogiagroup.com</t>
        </is>
      </c>
      <c r="S5" s="16" t="inlineStr">
        <is>
          <t>Desktop Chrome</t>
        </is>
      </c>
      <c r="T5" s="16" t="inlineStr"/>
      <c r="U5" s="21" t="inlineStr">
        <is>
          <t>CLOSED</t>
        </is>
      </c>
      <c r="V5" s="16" t="inlineStr">
        <is>
          <t>Othman</t>
        </is>
      </c>
      <c r="W5" s="16" t="inlineStr">
        <is>
          <t>42601e8</t>
        </is>
      </c>
      <c r="X5" s="16" t="inlineStr">
        <is>
          <t>2026-07-22</t>
        </is>
      </c>
      <c r="Y5" s="16" t="inlineStr"/>
      <c r="Z5" s="16" t="inlineStr">
        <is>
          <t>Requalifié MINEUR → MAJEUR. Les liens ne « défilaient » pas : ils ne faisaient RIEN. Incompatibilité &lt;a href=#ancre&gt; / HashRouter — 9 liens morts. Corrigé + état actif ajouté. Vérifié en production : 0 → 1979.</t>
        </is>
      </c>
    </row>
    <row r="6" ht="92" customHeight="1">
      <c r="A6" s="16" t="inlineStr">
        <is>
          <t>DEF-004</t>
        </is>
      </c>
      <c r="B6" s="16">
        <f>TODAY()</f>
        <v/>
      </c>
      <c r="C6" s="16" t="inlineStr">
        <is>
          <t>Othman</t>
        </is>
      </c>
      <c r="D6" s="16" t="inlineStr">
        <is>
          <t>(raw note 19)</t>
        </is>
      </c>
      <c r="E6" s="16" t="inlineStr">
        <is>
          <t>50d4c48</t>
        </is>
      </c>
      <c r="F6" s="16" t="inlineStr">
        <is>
          <t>Dashboard</t>
        </is>
      </c>
      <c r="G6" s="16" t="inlineStr">
        <is>
          <t>Dashboard</t>
        </is>
      </c>
      <c r="H6" s="16" t="inlineStr">
        <is>
          <t>#/app</t>
        </is>
      </c>
      <c r="I6" s="16" t="inlineStr">
        <is>
          <t>'Coreon Intelligence' heading block</t>
        </is>
      </c>
      <c r="J6" s="16" t="inlineStr">
        <is>
          <t>admin</t>
        </is>
      </c>
      <c r="K6" s="16" t="inlineStr">
        <is>
          <t>'Coreon Intelligence — ce que vos données disent cette semaine' is not aligned on one line</t>
        </is>
      </c>
      <c r="L6" s="16" t="inlineStr">
        <is>
          <t>1. Log in as admin@alnour.tn
2. Open #/app
3. Look at the Coreon Intelligence heading</t>
        </is>
      </c>
      <c r="M6" s="16" t="inlineStr">
        <is>
          <t>The title and its subtitle sit on a single consistent baseline.</t>
        </is>
      </c>
      <c r="N6" s="16" t="inlineStr">
        <is>
          <t>There is a small vertical drop between the two parts; they do not line up.</t>
        </is>
      </c>
      <c r="O6" s="16" t="inlineStr">
        <is>
          <t>Trivial</t>
        </is>
      </c>
      <c r="P6" s="16" t="inlineStr">
        <is>
          <t>P3 - Medium</t>
        </is>
      </c>
      <c r="Q6" s="16" t="inlineStr">
        <is>
          <t>Always</t>
        </is>
      </c>
      <c r="R6" s="16" t="inlineStr">
        <is>
          <t>edu.kogiagroup.com</t>
        </is>
      </c>
      <c r="S6" s="16" t="inlineStr">
        <is>
          <t>Desktop Chrome</t>
        </is>
      </c>
      <c r="T6" s="16" t="inlineStr"/>
      <c r="U6" s="21" t="inlineStr">
        <is>
          <t>CLOSED</t>
        </is>
      </c>
      <c r="V6" s="16" t="inlineStr">
        <is>
          <t>Othman</t>
        </is>
      </c>
      <c r="W6" s="16" t="inlineStr">
        <is>
          <t>42601e8</t>
        </is>
      </c>
      <c r="X6" s="16" t="inlineStr">
        <is>
          <t>2026-07-22</t>
        </is>
      </c>
      <c r="Y6" s="16" t="inlineStr"/>
      <c r="Z6" s="16" t="inlineStr">
        <is>
          <t>Confirmé. Cause : la ligne de base d'un conteneur flex vient de son premier élément ; ici une icône SVG, sans ligne de base. Icône passée en inline.</t>
        </is>
      </c>
    </row>
    <row r="7">
      <c r="A7" s="16" t="n"/>
      <c r="B7" s="16" t="n"/>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row>
    <row r="145">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row>
    <row r="14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row>
    <row r="147">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row>
    <row r="148">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row>
    <row r="149">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row>
    <row r="150">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row>
    <row r="15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row>
    <row r="152">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row>
    <row r="153">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row>
    <row r="154">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row>
    <row r="155">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row>
    <row r="15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row>
    <row r="157">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row>
    <row r="158">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row>
    <row r="159">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row>
    <row r="160">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row>
    <row r="16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row>
    <row r="162">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row>
    <row r="163">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row>
    <row r="164">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row>
    <row r="165">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row>
    <row r="16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row>
    <row r="16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row>
    <row r="168">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row>
    <row r="169">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row>
    <row r="170">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row>
    <row r="17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row>
    <row r="172">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row>
    <row r="173">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row>
    <row r="174">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row>
    <row r="175">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row>
    <row r="17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row>
    <row r="177">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row>
    <row r="178">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row>
    <row r="179">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row>
    <row r="180">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row>
    <row r="181">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row>
    <row r="182">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row>
    <row r="183">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row>
    <row r="184">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row>
    <row r="185">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row>
    <row r="18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row>
    <row r="187">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row>
    <row r="188">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row>
    <row r="189">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row>
    <row r="190">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row>
    <row r="191">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row>
    <row r="192">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row>
    <row r="193">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row>
    <row r="194">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row>
    <row r="195">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row>
    <row r="19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row>
    <row r="197">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row>
    <row r="198">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row>
    <row r="199">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row>
    <row r="200">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row>
    <row r="201">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row>
    <row r="202">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row>
    <row r="203">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row>
    <row r="204">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row>
    <row r="205">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row>
    <row r="20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row>
    <row r="207">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row>
    <row r="208">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row>
    <row r="209">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row>
    <row r="210">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row>
    <row r="211">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row>
    <row r="212">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row>
    <row r="213">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row>
    <row r="214">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row>
    <row r="215">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row>
    <row r="21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row>
    <row r="217">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row>
    <row r="218">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row>
    <row r="219">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row>
    <row r="220">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row>
    <row r="221">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row>
    <row r="222">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row>
    <row r="223">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row>
    <row r="224">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row>
    <row r="225">
      <c r="A225" s="16" t="n"/>
      <c r="B225" s="16" t="n"/>
      <c r="C225" s="16" t="n"/>
      <c r="D225" s="16" t="n"/>
      <c r="E225" s="16" t="n"/>
      <c r="F225" s="16" t="n"/>
      <c r="G225" s="16" t="n"/>
      <c r="H225" s="16" t="n"/>
      <c r="I225" s="16" t="n"/>
      <c r="J225" s="16" t="n"/>
      <c r="K225" s="16" t="n"/>
      <c r="L225" s="16" t="n"/>
      <c r="M225" s="16" t="n"/>
      <c r="N225" s="16" t="n"/>
      <c r="O225" s="16" t="n"/>
      <c r="P225" s="16" t="n"/>
      <c r="Q225" s="16" t="n"/>
      <c r="R225" s="16" t="n"/>
      <c r="S225" s="16" t="n"/>
      <c r="T225" s="16" t="n"/>
      <c r="U225" s="16" t="n"/>
      <c r="V225" s="16" t="n"/>
      <c r="W225" s="16" t="n"/>
      <c r="X225" s="16" t="n"/>
      <c r="Y225" s="16" t="n"/>
      <c r="Z225" s="16" t="n"/>
    </row>
    <row r="226">
      <c r="A226" s="16" t="n"/>
      <c r="B226" s="16" t="n"/>
      <c r="C226" s="16" t="n"/>
      <c r="D226" s="16" t="n"/>
      <c r="E226" s="16" t="n"/>
      <c r="F226" s="16" t="n"/>
      <c r="G226" s="16" t="n"/>
      <c r="H226" s="16" t="n"/>
      <c r="I226" s="16" t="n"/>
      <c r="J226" s="16" t="n"/>
      <c r="K226" s="16" t="n"/>
      <c r="L226" s="16" t="n"/>
      <c r="M226" s="16" t="n"/>
      <c r="N226" s="16" t="n"/>
      <c r="O226" s="16" t="n"/>
      <c r="P226" s="16" t="n"/>
      <c r="Q226" s="16" t="n"/>
      <c r="R226" s="16" t="n"/>
      <c r="S226" s="16" t="n"/>
      <c r="T226" s="16" t="n"/>
      <c r="U226" s="16" t="n"/>
      <c r="V226" s="16" t="n"/>
      <c r="W226" s="16" t="n"/>
      <c r="X226" s="16" t="n"/>
      <c r="Y226" s="16" t="n"/>
      <c r="Z226" s="16" t="n"/>
    </row>
    <row r="227">
      <c r="A227" s="16" t="n"/>
      <c r="B227" s="16" t="n"/>
      <c r="C227" s="16" t="n"/>
      <c r="D227" s="16" t="n"/>
      <c r="E227" s="16" t="n"/>
      <c r="F227" s="16" t="n"/>
      <c r="G227" s="16" t="n"/>
      <c r="H227" s="16" t="n"/>
      <c r="I227" s="16" t="n"/>
      <c r="J227" s="16" t="n"/>
      <c r="K227" s="16" t="n"/>
      <c r="L227" s="16" t="n"/>
      <c r="M227" s="16" t="n"/>
      <c r="N227" s="16" t="n"/>
      <c r="O227" s="16" t="n"/>
      <c r="P227" s="16" t="n"/>
      <c r="Q227" s="16" t="n"/>
      <c r="R227" s="16" t="n"/>
      <c r="S227" s="16" t="n"/>
      <c r="T227" s="16" t="n"/>
      <c r="U227" s="16" t="n"/>
      <c r="V227" s="16" t="n"/>
      <c r="W227" s="16" t="n"/>
      <c r="X227" s="16" t="n"/>
      <c r="Y227" s="16" t="n"/>
      <c r="Z227" s="16" t="n"/>
    </row>
    <row r="228">
      <c r="A228" s="16" t="n"/>
      <c r="B228" s="16" t="n"/>
      <c r="C228" s="16" t="n"/>
      <c r="D228" s="16" t="n"/>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row>
    <row r="229">
      <c r="A229" s="16" t="n"/>
      <c r="B229" s="16" t="n"/>
      <c r="C229" s="16" t="n"/>
      <c r="D229" s="16" t="n"/>
      <c r="E229" s="16" t="n"/>
      <c r="F229" s="16" t="n"/>
      <c r="G229" s="16" t="n"/>
      <c r="H229" s="16" t="n"/>
      <c r="I229" s="16" t="n"/>
      <c r="J229" s="16" t="n"/>
      <c r="K229" s="16" t="n"/>
      <c r="L229" s="16" t="n"/>
      <c r="M229" s="16" t="n"/>
      <c r="N229" s="16" t="n"/>
      <c r="O229" s="16" t="n"/>
      <c r="P229" s="16" t="n"/>
      <c r="Q229" s="16" t="n"/>
      <c r="R229" s="16" t="n"/>
      <c r="S229" s="16" t="n"/>
      <c r="T229" s="16" t="n"/>
      <c r="U229" s="16" t="n"/>
      <c r="V229" s="16" t="n"/>
      <c r="W229" s="16" t="n"/>
      <c r="X229" s="16" t="n"/>
      <c r="Y229" s="16" t="n"/>
      <c r="Z229" s="16" t="n"/>
    </row>
    <row r="230">
      <c r="A230" s="16" t="n"/>
      <c r="B230" s="16" t="n"/>
      <c r="C230" s="16" t="n"/>
      <c r="D230" s="16" t="n"/>
      <c r="E230" s="16" t="n"/>
      <c r="F230" s="16" t="n"/>
      <c r="G230" s="16" t="n"/>
      <c r="H230" s="16" t="n"/>
      <c r="I230" s="16" t="n"/>
      <c r="J230" s="16" t="n"/>
      <c r="K230" s="16" t="n"/>
      <c r="L230" s="16" t="n"/>
      <c r="M230" s="16" t="n"/>
      <c r="N230" s="16" t="n"/>
      <c r="O230" s="16" t="n"/>
      <c r="P230" s="16" t="n"/>
      <c r="Q230" s="16" t="n"/>
      <c r="R230" s="16" t="n"/>
      <c r="S230" s="16" t="n"/>
      <c r="T230" s="16" t="n"/>
      <c r="U230" s="16" t="n"/>
      <c r="V230" s="16" t="n"/>
      <c r="W230" s="16" t="n"/>
      <c r="X230" s="16" t="n"/>
      <c r="Y230" s="16" t="n"/>
      <c r="Z230" s="16" t="n"/>
    </row>
    <row r="231">
      <c r="A231" s="16" t="n"/>
      <c r="B231" s="16" t="n"/>
      <c r="C231" s="16" t="n"/>
      <c r="D231" s="16" t="n"/>
      <c r="E231" s="16" t="n"/>
      <c r="F231" s="16" t="n"/>
      <c r="G231" s="16" t="n"/>
      <c r="H231" s="16" t="n"/>
      <c r="I231" s="16" t="n"/>
      <c r="J231" s="16" t="n"/>
      <c r="K231" s="16" t="n"/>
      <c r="L231" s="16" t="n"/>
      <c r="M231" s="16" t="n"/>
      <c r="N231" s="16" t="n"/>
      <c r="O231" s="16" t="n"/>
      <c r="P231" s="16" t="n"/>
      <c r="Q231" s="16" t="n"/>
      <c r="R231" s="16" t="n"/>
      <c r="S231" s="16" t="n"/>
      <c r="T231" s="16" t="n"/>
      <c r="U231" s="16" t="n"/>
      <c r="V231" s="16" t="n"/>
      <c r="W231" s="16" t="n"/>
      <c r="X231" s="16" t="n"/>
      <c r="Y231" s="16" t="n"/>
      <c r="Z231" s="16" t="n"/>
    </row>
    <row r="232">
      <c r="A232" s="16" t="n"/>
      <c r="B232" s="16" t="n"/>
      <c r="C232" s="16" t="n"/>
      <c r="D232" s="16" t="n"/>
      <c r="E232" s="16" t="n"/>
      <c r="F232" s="16" t="n"/>
      <c r="G232" s="16" t="n"/>
      <c r="H232" s="16" t="n"/>
      <c r="I232" s="16" t="n"/>
      <c r="J232" s="16" t="n"/>
      <c r="K232" s="16" t="n"/>
      <c r="L232" s="16" t="n"/>
      <c r="M232" s="16" t="n"/>
      <c r="N232" s="16" t="n"/>
      <c r="O232" s="16" t="n"/>
      <c r="P232" s="16" t="n"/>
      <c r="Q232" s="16" t="n"/>
      <c r="R232" s="16" t="n"/>
      <c r="S232" s="16" t="n"/>
      <c r="T232" s="16" t="n"/>
      <c r="U232" s="16" t="n"/>
      <c r="V232" s="16" t="n"/>
      <c r="W232" s="16" t="n"/>
      <c r="X232" s="16" t="n"/>
      <c r="Y232" s="16" t="n"/>
      <c r="Z232" s="16" t="n"/>
    </row>
    <row r="233">
      <c r="A233" s="16" t="n"/>
      <c r="B233" s="16" t="n"/>
      <c r="C233" s="16" t="n"/>
      <c r="D233" s="16" t="n"/>
      <c r="E233" s="16" t="n"/>
      <c r="F233" s="16" t="n"/>
      <c r="G233" s="16" t="n"/>
      <c r="H233" s="16" t="n"/>
      <c r="I233" s="16" t="n"/>
      <c r="J233" s="16" t="n"/>
      <c r="K233" s="16" t="n"/>
      <c r="L233" s="16" t="n"/>
      <c r="M233" s="16" t="n"/>
      <c r="N233" s="16" t="n"/>
      <c r="O233" s="16" t="n"/>
      <c r="P233" s="16" t="n"/>
      <c r="Q233" s="16" t="n"/>
      <c r="R233" s="16" t="n"/>
      <c r="S233" s="16" t="n"/>
      <c r="T233" s="16" t="n"/>
      <c r="U233" s="16" t="n"/>
      <c r="V233" s="16" t="n"/>
      <c r="W233" s="16" t="n"/>
      <c r="X233" s="16" t="n"/>
      <c r="Y233" s="16" t="n"/>
      <c r="Z233" s="16" t="n"/>
    </row>
    <row r="234">
      <c r="A234" s="16" t="n"/>
      <c r="B234" s="16" t="n"/>
      <c r="C234" s="16" t="n"/>
      <c r="D234" s="16" t="n"/>
      <c r="E234" s="16" t="n"/>
      <c r="F234" s="16" t="n"/>
      <c r="G234" s="16" t="n"/>
      <c r="H234" s="16" t="n"/>
      <c r="I234" s="16" t="n"/>
      <c r="J234" s="16" t="n"/>
      <c r="K234" s="16" t="n"/>
      <c r="L234" s="16" t="n"/>
      <c r="M234" s="16" t="n"/>
      <c r="N234" s="16" t="n"/>
      <c r="O234" s="16" t="n"/>
      <c r="P234" s="16" t="n"/>
      <c r="Q234" s="16" t="n"/>
      <c r="R234" s="16" t="n"/>
      <c r="S234" s="16" t="n"/>
      <c r="T234" s="16" t="n"/>
      <c r="U234" s="16" t="n"/>
      <c r="V234" s="16" t="n"/>
      <c r="W234" s="16" t="n"/>
      <c r="X234" s="16" t="n"/>
      <c r="Y234" s="16" t="n"/>
      <c r="Z234" s="16" t="n"/>
    </row>
    <row r="235">
      <c r="A235" s="16" t="n"/>
      <c r="B235" s="16" t="n"/>
      <c r="C235" s="16" t="n"/>
      <c r="D235" s="16" t="n"/>
      <c r="E235" s="16" t="n"/>
      <c r="F235" s="16" t="n"/>
      <c r="G235" s="16" t="n"/>
      <c r="H235" s="16" t="n"/>
      <c r="I235" s="16" t="n"/>
      <c r="J235" s="16" t="n"/>
      <c r="K235" s="16" t="n"/>
      <c r="L235" s="16" t="n"/>
      <c r="M235" s="16" t="n"/>
      <c r="N235" s="16" t="n"/>
      <c r="O235" s="16" t="n"/>
      <c r="P235" s="16" t="n"/>
      <c r="Q235" s="16" t="n"/>
      <c r="R235" s="16" t="n"/>
      <c r="S235" s="16" t="n"/>
      <c r="T235" s="16" t="n"/>
      <c r="U235" s="16" t="n"/>
      <c r="V235" s="16" t="n"/>
      <c r="W235" s="16" t="n"/>
      <c r="X235" s="16" t="n"/>
      <c r="Y235" s="16" t="n"/>
      <c r="Z235" s="16" t="n"/>
    </row>
    <row r="236">
      <c r="A236" s="16" t="n"/>
      <c r="B236" s="16" t="n"/>
      <c r="C236" s="16" t="n"/>
      <c r="D236" s="16" t="n"/>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row>
    <row r="237">
      <c r="A237" s="16" t="n"/>
      <c r="B237" s="16" t="n"/>
      <c r="C237" s="16" t="n"/>
      <c r="D237" s="16" t="n"/>
      <c r="E237" s="16" t="n"/>
      <c r="F237" s="16" t="n"/>
      <c r="G237" s="16" t="n"/>
      <c r="H237" s="16" t="n"/>
      <c r="I237" s="16" t="n"/>
      <c r="J237" s="16" t="n"/>
      <c r="K237" s="16" t="n"/>
      <c r="L237" s="16" t="n"/>
      <c r="M237" s="16" t="n"/>
      <c r="N237" s="16" t="n"/>
      <c r="O237" s="16" t="n"/>
      <c r="P237" s="16" t="n"/>
      <c r="Q237" s="16" t="n"/>
      <c r="R237" s="16" t="n"/>
      <c r="S237" s="16" t="n"/>
      <c r="T237" s="16" t="n"/>
      <c r="U237" s="16" t="n"/>
      <c r="V237" s="16" t="n"/>
      <c r="W237" s="16" t="n"/>
      <c r="X237" s="16" t="n"/>
      <c r="Y237" s="16" t="n"/>
      <c r="Z237" s="16" t="n"/>
    </row>
    <row r="238">
      <c r="A238" s="16" t="n"/>
      <c r="B238" s="16" t="n"/>
      <c r="C238" s="16" t="n"/>
      <c r="D238" s="16" t="n"/>
      <c r="E238" s="16" t="n"/>
      <c r="F238" s="16" t="n"/>
      <c r="G238" s="16" t="n"/>
      <c r="H238" s="16" t="n"/>
      <c r="I238" s="16" t="n"/>
      <c r="J238" s="16" t="n"/>
      <c r="K238" s="16" t="n"/>
      <c r="L238" s="16" t="n"/>
      <c r="M238" s="16" t="n"/>
      <c r="N238" s="16" t="n"/>
      <c r="O238" s="16" t="n"/>
      <c r="P238" s="16" t="n"/>
      <c r="Q238" s="16" t="n"/>
      <c r="R238" s="16" t="n"/>
      <c r="S238" s="16" t="n"/>
      <c r="T238" s="16" t="n"/>
      <c r="U238" s="16" t="n"/>
      <c r="V238" s="16" t="n"/>
      <c r="W238" s="16" t="n"/>
      <c r="X238" s="16" t="n"/>
      <c r="Y238" s="16" t="n"/>
      <c r="Z238" s="16" t="n"/>
    </row>
    <row r="239">
      <c r="A239" s="16" t="n"/>
      <c r="B239" s="16" t="n"/>
      <c r="C239" s="16" t="n"/>
      <c r="D239" s="16" t="n"/>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row>
    <row r="240">
      <c r="A240" s="16" t="n"/>
      <c r="B240" s="16" t="n"/>
      <c r="C240" s="16" t="n"/>
      <c r="D240" s="16" t="n"/>
      <c r="E240" s="16" t="n"/>
      <c r="F240" s="16" t="n"/>
      <c r="G240" s="16" t="n"/>
      <c r="H240" s="16" t="n"/>
      <c r="I240" s="16" t="n"/>
      <c r="J240" s="16" t="n"/>
      <c r="K240" s="16" t="n"/>
      <c r="L240" s="16" t="n"/>
      <c r="M240" s="16" t="n"/>
      <c r="N240" s="16" t="n"/>
      <c r="O240" s="16" t="n"/>
      <c r="P240" s="16" t="n"/>
      <c r="Q240" s="16" t="n"/>
      <c r="R240" s="16" t="n"/>
      <c r="S240" s="16" t="n"/>
      <c r="T240" s="16" t="n"/>
      <c r="U240" s="16" t="n"/>
      <c r="V240" s="16" t="n"/>
      <c r="W240" s="16" t="n"/>
      <c r="X240" s="16" t="n"/>
      <c r="Y240" s="16" t="n"/>
      <c r="Z240" s="16" t="n"/>
    </row>
    <row r="241">
      <c r="A241" s="16" t="n"/>
      <c r="B241" s="16" t="n"/>
      <c r="C241" s="16" t="n"/>
      <c r="D241" s="16" t="n"/>
      <c r="E241" s="16" t="n"/>
      <c r="F241" s="16" t="n"/>
      <c r="G241" s="16" t="n"/>
      <c r="H241" s="16" t="n"/>
      <c r="I241" s="16" t="n"/>
      <c r="J241" s="16" t="n"/>
      <c r="K241" s="16" t="n"/>
      <c r="L241" s="16" t="n"/>
      <c r="M241" s="16" t="n"/>
      <c r="N241" s="16" t="n"/>
      <c r="O241" s="16" t="n"/>
      <c r="P241" s="16" t="n"/>
      <c r="Q241" s="16" t="n"/>
      <c r="R241" s="16" t="n"/>
      <c r="S241" s="16" t="n"/>
      <c r="T241" s="16" t="n"/>
      <c r="U241" s="16" t="n"/>
      <c r="V241" s="16" t="n"/>
      <c r="W241" s="16" t="n"/>
      <c r="X241" s="16" t="n"/>
      <c r="Y241" s="16" t="n"/>
      <c r="Z241" s="16" t="n"/>
    </row>
    <row r="242">
      <c r="A242" s="16" t="n"/>
      <c r="B242" s="16" t="n"/>
      <c r="C242" s="16" t="n"/>
      <c r="D242" s="16" t="n"/>
      <c r="E242" s="16" t="n"/>
      <c r="F242" s="16" t="n"/>
      <c r="G242" s="16" t="n"/>
      <c r="H242" s="16" t="n"/>
      <c r="I242" s="16" t="n"/>
      <c r="J242" s="16" t="n"/>
      <c r="K242" s="16" t="n"/>
      <c r="L242" s="16" t="n"/>
      <c r="M242" s="16" t="n"/>
      <c r="N242" s="16" t="n"/>
      <c r="O242" s="16" t="n"/>
      <c r="P242" s="16" t="n"/>
      <c r="Q242" s="16" t="n"/>
      <c r="R242" s="16" t="n"/>
      <c r="S242" s="16" t="n"/>
      <c r="T242" s="16" t="n"/>
      <c r="U242" s="16" t="n"/>
      <c r="V242" s="16" t="n"/>
      <c r="W242" s="16" t="n"/>
      <c r="X242" s="16" t="n"/>
      <c r="Y242" s="16" t="n"/>
      <c r="Z242" s="16" t="n"/>
    </row>
    <row r="243">
      <c r="A243" s="16" t="n"/>
      <c r="B243" s="16" t="n"/>
      <c r="C243" s="16" t="n"/>
      <c r="D243" s="16" t="n"/>
      <c r="E243" s="16" t="n"/>
      <c r="F243" s="16" t="n"/>
      <c r="G243" s="16" t="n"/>
      <c r="H243" s="16" t="n"/>
      <c r="I243" s="16" t="n"/>
      <c r="J243" s="16" t="n"/>
      <c r="K243" s="16" t="n"/>
      <c r="L243" s="16" t="n"/>
      <c r="M243" s="16" t="n"/>
      <c r="N243" s="16" t="n"/>
      <c r="O243" s="16" t="n"/>
      <c r="P243" s="16" t="n"/>
      <c r="Q243" s="16" t="n"/>
      <c r="R243" s="16" t="n"/>
      <c r="S243" s="16" t="n"/>
      <c r="T243" s="16" t="n"/>
      <c r="U243" s="16" t="n"/>
      <c r="V243" s="16" t="n"/>
      <c r="W243" s="16" t="n"/>
      <c r="X243" s="16" t="n"/>
      <c r="Y243" s="16" t="n"/>
      <c r="Z243" s="16" t="n"/>
    </row>
    <row r="244">
      <c r="A244" s="16" t="n"/>
      <c r="B244" s="16" t="n"/>
      <c r="C244" s="16" t="n"/>
      <c r="D244" s="16" t="n"/>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row>
    <row r="245">
      <c r="A245" s="16" t="n"/>
      <c r="B245" s="16" t="n"/>
      <c r="C245" s="16" t="n"/>
      <c r="D245" s="16" t="n"/>
      <c r="E245" s="16" t="n"/>
      <c r="F245" s="16" t="n"/>
      <c r="G245" s="16" t="n"/>
      <c r="H245" s="16" t="n"/>
      <c r="I245" s="16" t="n"/>
      <c r="J245" s="16" t="n"/>
      <c r="K245" s="16" t="n"/>
      <c r="L245" s="16" t="n"/>
      <c r="M245" s="16" t="n"/>
      <c r="N245" s="16" t="n"/>
      <c r="O245" s="16" t="n"/>
      <c r="P245" s="16" t="n"/>
      <c r="Q245" s="16" t="n"/>
      <c r="R245" s="16" t="n"/>
      <c r="S245" s="16" t="n"/>
      <c r="T245" s="16" t="n"/>
      <c r="U245" s="16" t="n"/>
      <c r="V245" s="16" t="n"/>
      <c r="W245" s="16" t="n"/>
      <c r="X245" s="16" t="n"/>
      <c r="Y245" s="16" t="n"/>
      <c r="Z245" s="16" t="n"/>
    </row>
    <row r="246">
      <c r="A246" s="16" t="n"/>
      <c r="B246" s="16" t="n"/>
      <c r="C246" s="16" t="n"/>
      <c r="D246" s="16" t="n"/>
      <c r="E246" s="16" t="n"/>
      <c r="F246" s="16" t="n"/>
      <c r="G246" s="16" t="n"/>
      <c r="H246" s="16" t="n"/>
      <c r="I246" s="16" t="n"/>
      <c r="J246" s="16" t="n"/>
      <c r="K246" s="16" t="n"/>
      <c r="L246" s="16" t="n"/>
      <c r="M246" s="16" t="n"/>
      <c r="N246" s="16" t="n"/>
      <c r="O246" s="16" t="n"/>
      <c r="P246" s="16" t="n"/>
      <c r="Q246" s="16" t="n"/>
      <c r="R246" s="16" t="n"/>
      <c r="S246" s="16" t="n"/>
      <c r="T246" s="16" t="n"/>
      <c r="U246" s="16" t="n"/>
      <c r="V246" s="16" t="n"/>
      <c r="W246" s="16" t="n"/>
      <c r="X246" s="16" t="n"/>
      <c r="Y246" s="16" t="n"/>
      <c r="Z246" s="16" t="n"/>
    </row>
    <row r="247">
      <c r="A247" s="16" t="n"/>
      <c r="B247" s="16" t="n"/>
      <c r="C247" s="16" t="n"/>
      <c r="D247" s="16" t="n"/>
      <c r="E247" s="16" t="n"/>
      <c r="F247" s="16" t="n"/>
      <c r="G247" s="16" t="n"/>
      <c r="H247" s="16" t="n"/>
      <c r="I247" s="16" t="n"/>
      <c r="J247" s="16" t="n"/>
      <c r="K247" s="16" t="n"/>
      <c r="L247" s="16" t="n"/>
      <c r="M247" s="16" t="n"/>
      <c r="N247" s="16" t="n"/>
      <c r="O247" s="16" t="n"/>
      <c r="P247" s="16" t="n"/>
      <c r="Q247" s="16" t="n"/>
      <c r="R247" s="16" t="n"/>
      <c r="S247" s="16" t="n"/>
      <c r="T247" s="16" t="n"/>
      <c r="U247" s="16" t="n"/>
      <c r="V247" s="16" t="n"/>
      <c r="W247" s="16" t="n"/>
      <c r="X247" s="16" t="n"/>
      <c r="Y247" s="16" t="n"/>
      <c r="Z247" s="16" t="n"/>
    </row>
    <row r="248">
      <c r="A248" s="16" t="n"/>
      <c r="B248" s="16" t="n"/>
      <c r="C248" s="16" t="n"/>
      <c r="D248" s="16" t="n"/>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row>
    <row r="249">
      <c r="A249" s="16" t="n"/>
      <c r="B249" s="16" t="n"/>
      <c r="C249" s="16" t="n"/>
      <c r="D249" s="16" t="n"/>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row>
    <row r="250">
      <c r="A250" s="16" t="n"/>
      <c r="B250" s="16" t="n"/>
      <c r="C250" s="16" t="n"/>
      <c r="D250" s="16" t="n"/>
      <c r="E250" s="16" t="n"/>
      <c r="F250" s="16" t="n"/>
      <c r="G250" s="16" t="n"/>
      <c r="H250" s="16" t="n"/>
      <c r="I250" s="16" t="n"/>
      <c r="J250" s="16" t="n"/>
      <c r="K250" s="16" t="n"/>
      <c r="L250" s="16" t="n"/>
      <c r="M250" s="16" t="n"/>
      <c r="N250" s="16" t="n"/>
      <c r="O250" s="16" t="n"/>
      <c r="P250" s="16" t="n"/>
      <c r="Q250" s="16" t="n"/>
      <c r="R250" s="16" t="n"/>
      <c r="S250" s="16" t="n"/>
      <c r="T250" s="16" t="n"/>
      <c r="U250" s="16" t="n"/>
      <c r="V250" s="16" t="n"/>
      <c r="W250" s="16" t="n"/>
      <c r="X250" s="16" t="n"/>
      <c r="Y250" s="16" t="n"/>
      <c r="Z250" s="16" t="n"/>
    </row>
    <row r="251">
      <c r="A251" s="16" t="n"/>
      <c r="B251" s="16" t="n"/>
      <c r="C251" s="16" t="n"/>
      <c r="D251" s="16" t="n"/>
      <c r="E251" s="16" t="n"/>
      <c r="F251" s="16" t="n"/>
      <c r="G251" s="16" t="n"/>
      <c r="H251" s="16" t="n"/>
      <c r="I251" s="16" t="n"/>
      <c r="J251" s="16" t="n"/>
      <c r="K251" s="16" t="n"/>
      <c r="L251" s="16" t="n"/>
      <c r="M251" s="16" t="n"/>
      <c r="N251" s="16" t="n"/>
      <c r="O251" s="16" t="n"/>
      <c r="P251" s="16" t="n"/>
      <c r="Q251" s="16" t="n"/>
      <c r="R251" s="16" t="n"/>
      <c r="S251" s="16" t="n"/>
      <c r="T251" s="16" t="n"/>
      <c r="U251" s="16" t="n"/>
      <c r="V251" s="16" t="n"/>
      <c r="W251" s="16" t="n"/>
      <c r="X251" s="16" t="n"/>
      <c r="Y251" s="16" t="n"/>
      <c r="Z251" s="16" t="n"/>
    </row>
    <row r="252">
      <c r="A252" s="16" t="n"/>
      <c r="B252" s="16" t="n"/>
      <c r="C252" s="16" t="n"/>
      <c r="D252" s="16" t="n"/>
      <c r="E252" s="16" t="n"/>
      <c r="F252" s="16" t="n"/>
      <c r="G252" s="16" t="n"/>
      <c r="H252" s="16" t="n"/>
      <c r="I252" s="16" t="n"/>
      <c r="J252" s="16" t="n"/>
      <c r="K252" s="16" t="n"/>
      <c r="L252" s="16" t="n"/>
      <c r="M252" s="16" t="n"/>
      <c r="N252" s="16" t="n"/>
      <c r="O252" s="16" t="n"/>
      <c r="P252" s="16" t="n"/>
      <c r="Q252" s="16" t="n"/>
      <c r="R252" s="16" t="n"/>
      <c r="S252" s="16" t="n"/>
      <c r="T252" s="16" t="n"/>
      <c r="U252" s="16" t="n"/>
      <c r="V252" s="16" t="n"/>
      <c r="W252" s="16" t="n"/>
      <c r="X252" s="16" t="n"/>
      <c r="Y252" s="16" t="n"/>
      <c r="Z252" s="16" t="n"/>
    </row>
    <row r="253">
      <c r="A253" s="16" t="n"/>
      <c r="B253" s="16" t="n"/>
      <c r="C253" s="16" t="n"/>
      <c r="D253" s="16" t="n"/>
      <c r="E253" s="16" t="n"/>
      <c r="F253" s="16" t="n"/>
      <c r="G253" s="16" t="n"/>
      <c r="H253" s="16" t="n"/>
      <c r="I253" s="16" t="n"/>
      <c r="J253" s="16" t="n"/>
      <c r="K253" s="16" t="n"/>
      <c r="L253" s="16" t="n"/>
      <c r="M253" s="16" t="n"/>
      <c r="N253" s="16" t="n"/>
      <c r="O253" s="16" t="n"/>
      <c r="P253" s="16" t="n"/>
      <c r="Q253" s="16" t="n"/>
      <c r="R253" s="16" t="n"/>
      <c r="S253" s="16" t="n"/>
      <c r="T253" s="16" t="n"/>
      <c r="U253" s="16" t="n"/>
      <c r="V253" s="16" t="n"/>
      <c r="W253" s="16" t="n"/>
      <c r="X253" s="16" t="n"/>
      <c r="Y253" s="16" t="n"/>
      <c r="Z253" s="16" t="n"/>
    </row>
    <row r="254">
      <c r="A254" s="16" t="n"/>
      <c r="B254" s="16" t="n"/>
      <c r="C254" s="16" t="n"/>
      <c r="D254" s="16" t="n"/>
      <c r="E254" s="16" t="n"/>
      <c r="F254" s="16" t="n"/>
      <c r="G254" s="16" t="n"/>
      <c r="H254" s="16" t="n"/>
      <c r="I254" s="16" t="n"/>
      <c r="J254" s="16" t="n"/>
      <c r="K254" s="16" t="n"/>
      <c r="L254" s="16" t="n"/>
      <c r="M254" s="16" t="n"/>
      <c r="N254" s="16" t="n"/>
      <c r="O254" s="16" t="n"/>
      <c r="P254" s="16" t="n"/>
      <c r="Q254" s="16" t="n"/>
      <c r="R254" s="16" t="n"/>
      <c r="S254" s="16" t="n"/>
      <c r="T254" s="16" t="n"/>
      <c r="U254" s="16" t="n"/>
      <c r="V254" s="16" t="n"/>
      <c r="W254" s="16" t="n"/>
      <c r="X254" s="16" t="n"/>
      <c r="Y254" s="16" t="n"/>
      <c r="Z254" s="16" t="n"/>
    </row>
    <row r="255">
      <c r="A255" s="16" t="n"/>
      <c r="B255" s="16" t="n"/>
      <c r="C255" s="16" t="n"/>
      <c r="D255" s="16" t="n"/>
      <c r="E255" s="16" t="n"/>
      <c r="F255" s="16" t="n"/>
      <c r="G255" s="16" t="n"/>
      <c r="H255" s="16" t="n"/>
      <c r="I255" s="16" t="n"/>
      <c r="J255" s="16" t="n"/>
      <c r="K255" s="16" t="n"/>
      <c r="L255" s="16" t="n"/>
      <c r="M255" s="16" t="n"/>
      <c r="N255" s="16" t="n"/>
      <c r="O255" s="16" t="n"/>
      <c r="P255" s="16" t="n"/>
      <c r="Q255" s="16" t="n"/>
      <c r="R255" s="16" t="n"/>
      <c r="S255" s="16" t="n"/>
      <c r="T255" s="16" t="n"/>
      <c r="U255" s="16" t="n"/>
      <c r="V255" s="16" t="n"/>
      <c r="W255" s="16" t="n"/>
      <c r="X255" s="16" t="n"/>
      <c r="Y255" s="16" t="n"/>
      <c r="Z255" s="16" t="n"/>
    </row>
    <row r="256">
      <c r="A256" s="16" t="n"/>
      <c r="B256" s="16" t="n"/>
      <c r="C256" s="16" t="n"/>
      <c r="D256" s="16" t="n"/>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row>
    <row r="257">
      <c r="A257" s="16" t="n"/>
      <c r="B257" s="16" t="n"/>
      <c r="C257" s="16" t="n"/>
      <c r="D257" s="16" t="n"/>
      <c r="E257" s="16" t="n"/>
      <c r="F257" s="16" t="n"/>
      <c r="G257" s="16" t="n"/>
      <c r="H257" s="16" t="n"/>
      <c r="I257" s="16" t="n"/>
      <c r="J257" s="16" t="n"/>
      <c r="K257" s="16" t="n"/>
      <c r="L257" s="16" t="n"/>
      <c r="M257" s="16" t="n"/>
      <c r="N257" s="16" t="n"/>
      <c r="O257" s="16" t="n"/>
      <c r="P257" s="16" t="n"/>
      <c r="Q257" s="16" t="n"/>
      <c r="R257" s="16" t="n"/>
      <c r="S257" s="16" t="n"/>
      <c r="T257" s="16" t="n"/>
      <c r="U257" s="16" t="n"/>
      <c r="V257" s="16" t="n"/>
      <c r="W257" s="16" t="n"/>
      <c r="X257" s="16" t="n"/>
      <c r="Y257" s="16" t="n"/>
      <c r="Z257" s="16" t="n"/>
    </row>
    <row r="258">
      <c r="A258" s="16" t="n"/>
      <c r="B258" s="16" t="n"/>
      <c r="C258" s="16" t="n"/>
      <c r="D258" s="16" t="n"/>
      <c r="E258" s="16" t="n"/>
      <c r="F258" s="16" t="n"/>
      <c r="G258" s="16" t="n"/>
      <c r="H258" s="16" t="n"/>
      <c r="I258" s="16" t="n"/>
      <c r="J258" s="16" t="n"/>
      <c r="K258" s="16" t="n"/>
      <c r="L258" s="16" t="n"/>
      <c r="M258" s="16" t="n"/>
      <c r="N258" s="16" t="n"/>
      <c r="O258" s="16" t="n"/>
      <c r="P258" s="16" t="n"/>
      <c r="Q258" s="16" t="n"/>
      <c r="R258" s="16" t="n"/>
      <c r="S258" s="16" t="n"/>
      <c r="T258" s="16" t="n"/>
      <c r="U258" s="16" t="n"/>
      <c r="V258" s="16" t="n"/>
      <c r="W258" s="16" t="n"/>
      <c r="X258" s="16" t="n"/>
      <c r="Y258" s="16" t="n"/>
      <c r="Z258" s="16" t="n"/>
    </row>
    <row r="259">
      <c r="A259" s="16" t="n"/>
      <c r="B259" s="16" t="n"/>
      <c r="C259" s="16" t="n"/>
      <c r="D259" s="16" t="n"/>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row>
    <row r="260">
      <c r="A260" s="16" t="n"/>
      <c r="B260" s="16" t="n"/>
      <c r="C260" s="16" t="n"/>
      <c r="D260" s="16" t="n"/>
      <c r="E260" s="16" t="n"/>
      <c r="F260" s="16" t="n"/>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row>
    <row r="261">
      <c r="A261" s="16" t="n"/>
      <c r="B261" s="16" t="n"/>
      <c r="C261" s="16" t="n"/>
      <c r="D261" s="16" t="n"/>
      <c r="E261" s="16" t="n"/>
      <c r="F261" s="16" t="n"/>
      <c r="G261" s="16" t="n"/>
      <c r="H261" s="16" t="n"/>
      <c r="I261" s="16" t="n"/>
      <c r="J261" s="16" t="n"/>
      <c r="K261" s="16" t="n"/>
      <c r="L261" s="16" t="n"/>
      <c r="M261" s="16" t="n"/>
      <c r="N261" s="16" t="n"/>
      <c r="O261" s="16" t="n"/>
      <c r="P261" s="16" t="n"/>
      <c r="Q261" s="16" t="n"/>
      <c r="R261" s="16" t="n"/>
      <c r="S261" s="16" t="n"/>
      <c r="T261" s="16" t="n"/>
      <c r="U261" s="16" t="n"/>
      <c r="V261" s="16" t="n"/>
      <c r="W261" s="16" t="n"/>
      <c r="X261" s="16" t="n"/>
      <c r="Y261" s="16" t="n"/>
      <c r="Z261" s="16" t="n"/>
    </row>
    <row r="262">
      <c r="A262" s="16" t="n"/>
      <c r="B262" s="16" t="n"/>
      <c r="C262" s="16" t="n"/>
      <c r="D262" s="16" t="n"/>
      <c r="E262" s="16" t="n"/>
      <c r="F262" s="16" t="n"/>
      <c r="G262" s="16" t="n"/>
      <c r="H262" s="16" t="n"/>
      <c r="I262" s="16" t="n"/>
      <c r="J262" s="16" t="n"/>
      <c r="K262" s="16" t="n"/>
      <c r="L262" s="16" t="n"/>
      <c r="M262" s="16" t="n"/>
      <c r="N262" s="16" t="n"/>
      <c r="O262" s="16" t="n"/>
      <c r="P262" s="16" t="n"/>
      <c r="Q262" s="16" t="n"/>
      <c r="R262" s="16" t="n"/>
      <c r="S262" s="16" t="n"/>
      <c r="T262" s="16" t="n"/>
      <c r="U262" s="16" t="n"/>
      <c r="V262" s="16" t="n"/>
      <c r="W262" s="16" t="n"/>
      <c r="X262" s="16" t="n"/>
      <c r="Y262" s="16" t="n"/>
      <c r="Z262" s="16" t="n"/>
    </row>
    <row r="263">
      <c r="A263" s="16" t="n"/>
      <c r="B263" s="16" t="n"/>
      <c r="C263" s="16" t="n"/>
      <c r="D263" s="16" t="n"/>
      <c r="E263" s="16" t="n"/>
      <c r="F263" s="16" t="n"/>
      <c r="G263" s="16" t="n"/>
      <c r="H263" s="16" t="n"/>
      <c r="I263" s="16" t="n"/>
      <c r="J263" s="16" t="n"/>
      <c r="K263" s="16" t="n"/>
      <c r="L263" s="16" t="n"/>
      <c r="M263" s="16" t="n"/>
      <c r="N263" s="16" t="n"/>
      <c r="O263" s="16" t="n"/>
      <c r="P263" s="16" t="n"/>
      <c r="Q263" s="16" t="n"/>
      <c r="R263" s="16" t="n"/>
      <c r="S263" s="16" t="n"/>
      <c r="T263" s="16" t="n"/>
      <c r="U263" s="16" t="n"/>
      <c r="V263" s="16" t="n"/>
      <c r="W263" s="16" t="n"/>
      <c r="X263" s="16" t="n"/>
      <c r="Y263" s="16" t="n"/>
      <c r="Z263" s="16" t="n"/>
    </row>
    <row r="264">
      <c r="A264" s="16" t="n"/>
      <c r="B264" s="16" t="n"/>
      <c r="C264" s="16" t="n"/>
      <c r="D264" s="16" t="n"/>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row>
    <row r="265">
      <c r="A265" s="16" t="n"/>
      <c r="B265" s="16" t="n"/>
      <c r="C265" s="16" t="n"/>
      <c r="D265" s="16" t="n"/>
      <c r="E265" s="16" t="n"/>
      <c r="F265" s="16" t="n"/>
      <c r="G265" s="16" t="n"/>
      <c r="H265" s="16" t="n"/>
      <c r="I265" s="16" t="n"/>
      <c r="J265" s="16" t="n"/>
      <c r="K265" s="16" t="n"/>
      <c r="L265" s="16" t="n"/>
      <c r="M265" s="16" t="n"/>
      <c r="N265" s="16" t="n"/>
      <c r="O265" s="16" t="n"/>
      <c r="P265" s="16" t="n"/>
      <c r="Q265" s="16" t="n"/>
      <c r="R265" s="16" t="n"/>
      <c r="S265" s="16" t="n"/>
      <c r="T265" s="16" t="n"/>
      <c r="U265" s="16" t="n"/>
      <c r="V265" s="16" t="n"/>
      <c r="W265" s="16" t="n"/>
      <c r="X265" s="16" t="n"/>
      <c r="Y265" s="16" t="n"/>
      <c r="Z265" s="16" t="n"/>
    </row>
    <row r="266">
      <c r="A266" s="16" t="n"/>
      <c r="B266" s="16" t="n"/>
      <c r="C266" s="16" t="n"/>
      <c r="D266" s="16" t="n"/>
      <c r="E266" s="16" t="n"/>
      <c r="F266" s="16" t="n"/>
      <c r="G266" s="16" t="n"/>
      <c r="H266" s="16" t="n"/>
      <c r="I266" s="16" t="n"/>
      <c r="J266" s="16" t="n"/>
      <c r="K266" s="16" t="n"/>
      <c r="L266" s="16" t="n"/>
      <c r="M266" s="16" t="n"/>
      <c r="N266" s="16" t="n"/>
      <c r="O266" s="16" t="n"/>
      <c r="P266" s="16" t="n"/>
      <c r="Q266" s="16" t="n"/>
      <c r="R266" s="16" t="n"/>
      <c r="S266" s="16" t="n"/>
      <c r="T266" s="16" t="n"/>
      <c r="U266" s="16" t="n"/>
      <c r="V266" s="16" t="n"/>
      <c r="W266" s="16" t="n"/>
      <c r="X266" s="16" t="n"/>
      <c r="Y266" s="16" t="n"/>
      <c r="Z266" s="16" t="n"/>
    </row>
    <row r="267">
      <c r="A267" s="16" t="n"/>
      <c r="B267" s="16" t="n"/>
      <c r="C267" s="16" t="n"/>
      <c r="D267" s="16" t="n"/>
      <c r="E267" s="16" t="n"/>
      <c r="F267" s="16" t="n"/>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row>
    <row r="268">
      <c r="A268" s="16" t="n"/>
      <c r="B268" s="16" t="n"/>
      <c r="C268" s="16" t="n"/>
      <c r="D268" s="16" t="n"/>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row>
    <row r="269">
      <c r="A269" s="16" t="n"/>
      <c r="B269" s="16" t="n"/>
      <c r="C269" s="16" t="n"/>
      <c r="D269" s="16" t="n"/>
      <c r="E269" s="16" t="n"/>
      <c r="F269" s="16" t="n"/>
      <c r="G269" s="16" t="n"/>
      <c r="H269" s="16" t="n"/>
      <c r="I269" s="16" t="n"/>
      <c r="J269" s="16" t="n"/>
      <c r="K269" s="16" t="n"/>
      <c r="L269" s="16" t="n"/>
      <c r="M269" s="16" t="n"/>
      <c r="N269" s="16" t="n"/>
      <c r="O269" s="16" t="n"/>
      <c r="P269" s="16" t="n"/>
      <c r="Q269" s="16" t="n"/>
      <c r="R269" s="16" t="n"/>
      <c r="S269" s="16" t="n"/>
      <c r="T269" s="16" t="n"/>
      <c r="U269" s="16" t="n"/>
      <c r="V269" s="16" t="n"/>
      <c r="W269" s="16" t="n"/>
      <c r="X269" s="16" t="n"/>
      <c r="Y269" s="16" t="n"/>
      <c r="Z269" s="16" t="n"/>
    </row>
    <row r="270">
      <c r="A270" s="16" t="n"/>
      <c r="B270" s="16" t="n"/>
      <c r="C270" s="16" t="n"/>
      <c r="D270" s="16" t="n"/>
      <c r="E270" s="16" t="n"/>
      <c r="F270" s="16" t="n"/>
      <c r="G270" s="16" t="n"/>
      <c r="H270" s="16" t="n"/>
      <c r="I270" s="16" t="n"/>
      <c r="J270" s="16" t="n"/>
      <c r="K270" s="16" t="n"/>
      <c r="L270" s="16" t="n"/>
      <c r="M270" s="16" t="n"/>
      <c r="N270" s="16" t="n"/>
      <c r="O270" s="16" t="n"/>
      <c r="P270" s="16" t="n"/>
      <c r="Q270" s="16" t="n"/>
      <c r="R270" s="16" t="n"/>
      <c r="S270" s="16" t="n"/>
      <c r="T270" s="16" t="n"/>
      <c r="U270" s="16" t="n"/>
      <c r="V270" s="16" t="n"/>
      <c r="W270" s="16" t="n"/>
      <c r="X270" s="16" t="n"/>
      <c r="Y270" s="16" t="n"/>
      <c r="Z270" s="16" t="n"/>
    </row>
    <row r="271">
      <c r="A271" s="16" t="n"/>
      <c r="B271" s="16" t="n"/>
      <c r="C271" s="16" t="n"/>
      <c r="D271" s="16" t="n"/>
      <c r="E271" s="16" t="n"/>
      <c r="F271" s="16" t="n"/>
      <c r="G271" s="16" t="n"/>
      <c r="H271" s="16" t="n"/>
      <c r="I271" s="16" t="n"/>
      <c r="J271" s="16" t="n"/>
      <c r="K271" s="16" t="n"/>
      <c r="L271" s="16" t="n"/>
      <c r="M271" s="16" t="n"/>
      <c r="N271" s="16" t="n"/>
      <c r="O271" s="16" t="n"/>
      <c r="P271" s="16" t="n"/>
      <c r="Q271" s="16" t="n"/>
      <c r="R271" s="16" t="n"/>
      <c r="S271" s="16" t="n"/>
      <c r="T271" s="16" t="n"/>
      <c r="U271" s="16" t="n"/>
      <c r="V271" s="16" t="n"/>
      <c r="W271" s="16" t="n"/>
      <c r="X271" s="16" t="n"/>
      <c r="Y271" s="16" t="n"/>
      <c r="Z271" s="16" t="n"/>
    </row>
    <row r="272">
      <c r="A272" s="16" t="n"/>
      <c r="B272" s="16" t="n"/>
      <c r="C272" s="16" t="n"/>
      <c r="D272" s="16" t="n"/>
      <c r="E272" s="16" t="n"/>
      <c r="F272" s="16" t="n"/>
      <c r="G272" s="16" t="n"/>
      <c r="H272" s="16" t="n"/>
      <c r="I272" s="16" t="n"/>
      <c r="J272" s="16" t="n"/>
      <c r="K272" s="16" t="n"/>
      <c r="L272" s="16" t="n"/>
      <c r="M272" s="16" t="n"/>
      <c r="N272" s="16" t="n"/>
      <c r="O272" s="16" t="n"/>
      <c r="P272" s="16" t="n"/>
      <c r="Q272" s="16" t="n"/>
      <c r="R272" s="16" t="n"/>
      <c r="S272" s="16" t="n"/>
      <c r="T272" s="16" t="n"/>
      <c r="U272" s="16" t="n"/>
      <c r="V272" s="16" t="n"/>
      <c r="W272" s="16" t="n"/>
      <c r="X272" s="16" t="n"/>
      <c r="Y272" s="16" t="n"/>
      <c r="Z272" s="16" t="n"/>
    </row>
    <row r="273">
      <c r="A273" s="16" t="n"/>
      <c r="B273" s="16" t="n"/>
      <c r="C273" s="16" t="n"/>
      <c r="D273" s="16" t="n"/>
      <c r="E273" s="16" t="n"/>
      <c r="F273" s="16" t="n"/>
      <c r="G273" s="16" t="n"/>
      <c r="H273" s="16" t="n"/>
      <c r="I273" s="16" t="n"/>
      <c r="J273" s="16" t="n"/>
      <c r="K273" s="16" t="n"/>
      <c r="L273" s="16" t="n"/>
      <c r="M273" s="16" t="n"/>
      <c r="N273" s="16" t="n"/>
      <c r="O273" s="16" t="n"/>
      <c r="P273" s="16" t="n"/>
      <c r="Q273" s="16" t="n"/>
      <c r="R273" s="16" t="n"/>
      <c r="S273" s="16" t="n"/>
      <c r="T273" s="16" t="n"/>
      <c r="U273" s="16" t="n"/>
      <c r="V273" s="16" t="n"/>
      <c r="W273" s="16" t="n"/>
      <c r="X273" s="16" t="n"/>
      <c r="Y273" s="16" t="n"/>
      <c r="Z273" s="16" t="n"/>
    </row>
    <row r="274">
      <c r="A274" s="16" t="n"/>
      <c r="B274" s="16" t="n"/>
      <c r="C274" s="16" t="n"/>
      <c r="D274" s="16" t="n"/>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row>
    <row r="275">
      <c r="A275" s="16" t="n"/>
      <c r="B275" s="16" t="n"/>
      <c r="C275" s="16" t="n"/>
      <c r="D275" s="16" t="n"/>
      <c r="E275" s="16" t="n"/>
      <c r="F275" s="16" t="n"/>
      <c r="G275" s="16" t="n"/>
      <c r="H275" s="16" t="n"/>
      <c r="I275" s="16" t="n"/>
      <c r="J275" s="16" t="n"/>
      <c r="K275" s="16" t="n"/>
      <c r="L275" s="16" t="n"/>
      <c r="M275" s="16" t="n"/>
      <c r="N275" s="16" t="n"/>
      <c r="O275" s="16" t="n"/>
      <c r="P275" s="16" t="n"/>
      <c r="Q275" s="16" t="n"/>
      <c r="R275" s="16" t="n"/>
      <c r="S275" s="16" t="n"/>
      <c r="T275" s="16" t="n"/>
      <c r="U275" s="16" t="n"/>
      <c r="V275" s="16" t="n"/>
      <c r="W275" s="16" t="n"/>
      <c r="X275" s="16" t="n"/>
      <c r="Y275" s="16" t="n"/>
      <c r="Z275" s="16" t="n"/>
    </row>
    <row r="276">
      <c r="A276" s="16" t="n"/>
      <c r="B276" s="16" t="n"/>
      <c r="C276" s="16" t="n"/>
      <c r="D276" s="16" t="n"/>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row>
    <row r="277">
      <c r="A277" s="16" t="n"/>
      <c r="B277" s="16" t="n"/>
      <c r="C277" s="16" t="n"/>
      <c r="D277" s="16" t="n"/>
      <c r="E277" s="16" t="n"/>
      <c r="F277" s="16" t="n"/>
      <c r="G277" s="16" t="n"/>
      <c r="H277" s="16" t="n"/>
      <c r="I277" s="16" t="n"/>
      <c r="J277" s="16" t="n"/>
      <c r="K277" s="16" t="n"/>
      <c r="L277" s="16" t="n"/>
      <c r="M277" s="16" t="n"/>
      <c r="N277" s="16" t="n"/>
      <c r="O277" s="16" t="n"/>
      <c r="P277" s="16" t="n"/>
      <c r="Q277" s="16" t="n"/>
      <c r="R277" s="16" t="n"/>
      <c r="S277" s="16" t="n"/>
      <c r="T277" s="16" t="n"/>
      <c r="U277" s="16" t="n"/>
      <c r="V277" s="16" t="n"/>
      <c r="W277" s="16" t="n"/>
      <c r="X277" s="16" t="n"/>
      <c r="Y277" s="16" t="n"/>
      <c r="Z277" s="16" t="n"/>
    </row>
    <row r="278">
      <c r="A278" s="16" t="n"/>
      <c r="B278" s="16" t="n"/>
      <c r="C278" s="16" t="n"/>
      <c r="D278" s="16" t="n"/>
      <c r="E278" s="16" t="n"/>
      <c r="F278" s="16" t="n"/>
      <c r="G278" s="16" t="n"/>
      <c r="H278" s="16" t="n"/>
      <c r="I278" s="16" t="n"/>
      <c r="J278" s="16" t="n"/>
      <c r="K278" s="16" t="n"/>
      <c r="L278" s="16" t="n"/>
      <c r="M278" s="16" t="n"/>
      <c r="N278" s="16" t="n"/>
      <c r="O278" s="16" t="n"/>
      <c r="P278" s="16" t="n"/>
      <c r="Q278" s="16" t="n"/>
      <c r="R278" s="16" t="n"/>
      <c r="S278" s="16" t="n"/>
      <c r="T278" s="16" t="n"/>
      <c r="U278" s="16" t="n"/>
      <c r="V278" s="16" t="n"/>
      <c r="W278" s="16" t="n"/>
      <c r="X278" s="16" t="n"/>
      <c r="Y278" s="16" t="n"/>
      <c r="Z278" s="16" t="n"/>
    </row>
    <row r="279">
      <c r="A279" s="16" t="n"/>
      <c r="B279" s="16" t="n"/>
      <c r="C279" s="16" t="n"/>
      <c r="D279" s="16" t="n"/>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row>
    <row r="280">
      <c r="A280" s="16" t="n"/>
      <c r="B280" s="16" t="n"/>
      <c r="C280" s="16" t="n"/>
      <c r="D280" s="16" t="n"/>
      <c r="E280" s="16" t="n"/>
      <c r="F280" s="16" t="n"/>
      <c r="G280" s="16" t="n"/>
      <c r="H280" s="16" t="n"/>
      <c r="I280" s="16" t="n"/>
      <c r="J280" s="16" t="n"/>
      <c r="K280" s="16" t="n"/>
      <c r="L280" s="16" t="n"/>
      <c r="M280" s="16" t="n"/>
      <c r="N280" s="16" t="n"/>
      <c r="O280" s="16" t="n"/>
      <c r="P280" s="16" t="n"/>
      <c r="Q280" s="16" t="n"/>
      <c r="R280" s="16" t="n"/>
      <c r="S280" s="16" t="n"/>
      <c r="T280" s="16" t="n"/>
      <c r="U280" s="16" t="n"/>
      <c r="V280" s="16" t="n"/>
      <c r="W280" s="16" t="n"/>
      <c r="X280" s="16" t="n"/>
      <c r="Y280" s="16" t="n"/>
      <c r="Z280" s="16" t="n"/>
    </row>
    <row r="281">
      <c r="A281" s="16" t="n"/>
      <c r="B281" s="16" t="n"/>
      <c r="C281" s="16" t="n"/>
      <c r="D281" s="16" t="n"/>
      <c r="E281" s="16" t="n"/>
      <c r="F281" s="16" t="n"/>
      <c r="G281" s="16" t="n"/>
      <c r="H281" s="16" t="n"/>
      <c r="I281" s="16" t="n"/>
      <c r="J281" s="16" t="n"/>
      <c r="K281" s="16" t="n"/>
      <c r="L281" s="16" t="n"/>
      <c r="M281" s="16" t="n"/>
      <c r="N281" s="16" t="n"/>
      <c r="O281" s="16" t="n"/>
      <c r="P281" s="16" t="n"/>
      <c r="Q281" s="16" t="n"/>
      <c r="R281" s="16" t="n"/>
      <c r="S281" s="16" t="n"/>
      <c r="T281" s="16" t="n"/>
      <c r="U281" s="16" t="n"/>
      <c r="V281" s="16" t="n"/>
      <c r="W281" s="16" t="n"/>
      <c r="X281" s="16" t="n"/>
      <c r="Y281" s="16" t="n"/>
      <c r="Z281" s="16" t="n"/>
    </row>
    <row r="282">
      <c r="A282" s="16" t="n"/>
      <c r="B282" s="16" t="n"/>
      <c r="C282" s="16" t="n"/>
      <c r="D282" s="16" t="n"/>
      <c r="E282" s="16" t="n"/>
      <c r="F282" s="16" t="n"/>
      <c r="G282" s="16" t="n"/>
      <c r="H282" s="16" t="n"/>
      <c r="I282" s="16" t="n"/>
      <c r="J282" s="16" t="n"/>
      <c r="K282" s="16" t="n"/>
      <c r="L282" s="16" t="n"/>
      <c r="M282" s="16" t="n"/>
      <c r="N282" s="16" t="n"/>
      <c r="O282" s="16" t="n"/>
      <c r="P282" s="16" t="n"/>
      <c r="Q282" s="16" t="n"/>
      <c r="R282" s="16" t="n"/>
      <c r="S282" s="16" t="n"/>
      <c r="T282" s="16" t="n"/>
      <c r="U282" s="16" t="n"/>
      <c r="V282" s="16" t="n"/>
      <c r="W282" s="16" t="n"/>
      <c r="X282" s="16" t="n"/>
      <c r="Y282" s="16" t="n"/>
      <c r="Z282" s="16" t="n"/>
    </row>
    <row r="283">
      <c r="A283" s="16" t="n"/>
      <c r="B283" s="16" t="n"/>
      <c r="C283" s="16" t="n"/>
      <c r="D283" s="16" t="n"/>
      <c r="E283" s="16" t="n"/>
      <c r="F283" s="16" t="n"/>
      <c r="G283" s="16" t="n"/>
      <c r="H283" s="16" t="n"/>
      <c r="I283" s="16" t="n"/>
      <c r="J283" s="16" t="n"/>
      <c r="K283" s="16" t="n"/>
      <c r="L283" s="16" t="n"/>
      <c r="M283" s="16" t="n"/>
      <c r="N283" s="16" t="n"/>
      <c r="O283" s="16" t="n"/>
      <c r="P283" s="16" t="n"/>
      <c r="Q283" s="16" t="n"/>
      <c r="R283" s="16" t="n"/>
      <c r="S283" s="16" t="n"/>
      <c r="T283" s="16" t="n"/>
      <c r="U283" s="16" t="n"/>
      <c r="V283" s="16" t="n"/>
      <c r="W283" s="16" t="n"/>
      <c r="X283" s="16" t="n"/>
      <c r="Y283" s="16" t="n"/>
      <c r="Z283" s="16" t="n"/>
    </row>
    <row r="284">
      <c r="A284" s="16" t="n"/>
      <c r="B284" s="16" t="n"/>
      <c r="C284" s="16" t="n"/>
      <c r="D284" s="16" t="n"/>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row>
    <row r="285">
      <c r="A285" s="16" t="n"/>
      <c r="B285" s="16" t="n"/>
      <c r="C285" s="16" t="n"/>
      <c r="D285" s="16" t="n"/>
      <c r="E285" s="16" t="n"/>
      <c r="F285" s="16" t="n"/>
      <c r="G285" s="16" t="n"/>
      <c r="H285" s="16" t="n"/>
      <c r="I285" s="16" t="n"/>
      <c r="J285" s="16" t="n"/>
      <c r="K285" s="16" t="n"/>
      <c r="L285" s="16" t="n"/>
      <c r="M285" s="16" t="n"/>
      <c r="N285" s="16" t="n"/>
      <c r="O285" s="16" t="n"/>
      <c r="P285" s="16" t="n"/>
      <c r="Q285" s="16" t="n"/>
      <c r="R285" s="16" t="n"/>
      <c r="S285" s="16" t="n"/>
      <c r="T285" s="16" t="n"/>
      <c r="U285" s="16" t="n"/>
      <c r="V285" s="16" t="n"/>
      <c r="W285" s="16" t="n"/>
      <c r="X285" s="16" t="n"/>
      <c r="Y285" s="16" t="n"/>
      <c r="Z285" s="16" t="n"/>
    </row>
    <row r="286">
      <c r="A286" s="16" t="n"/>
      <c r="B286" s="16" t="n"/>
      <c r="C286" s="16" t="n"/>
      <c r="D286" s="16" t="n"/>
      <c r="E286" s="16" t="n"/>
      <c r="F286" s="16" t="n"/>
      <c r="G286" s="16" t="n"/>
      <c r="H286" s="16" t="n"/>
      <c r="I286" s="16" t="n"/>
      <c r="J286" s="16" t="n"/>
      <c r="K286" s="16" t="n"/>
      <c r="L286" s="16" t="n"/>
      <c r="M286" s="16" t="n"/>
      <c r="N286" s="16" t="n"/>
      <c r="O286" s="16" t="n"/>
      <c r="P286" s="16" t="n"/>
      <c r="Q286" s="16" t="n"/>
      <c r="R286" s="16" t="n"/>
      <c r="S286" s="16" t="n"/>
      <c r="T286" s="16" t="n"/>
      <c r="U286" s="16" t="n"/>
      <c r="V286" s="16" t="n"/>
      <c r="W286" s="16" t="n"/>
      <c r="X286" s="16" t="n"/>
      <c r="Y286" s="16" t="n"/>
      <c r="Z286" s="16" t="n"/>
    </row>
    <row r="287">
      <c r="A287" s="16" t="n"/>
      <c r="B287" s="16" t="n"/>
      <c r="C287" s="16" t="n"/>
      <c r="D287" s="16" t="n"/>
      <c r="E287" s="16" t="n"/>
      <c r="F287" s="16" t="n"/>
      <c r="G287" s="16" t="n"/>
      <c r="H287" s="16" t="n"/>
      <c r="I287" s="16" t="n"/>
      <c r="J287" s="16" t="n"/>
      <c r="K287" s="16" t="n"/>
      <c r="L287" s="16" t="n"/>
      <c r="M287" s="16" t="n"/>
      <c r="N287" s="16" t="n"/>
      <c r="O287" s="16" t="n"/>
      <c r="P287" s="16" t="n"/>
      <c r="Q287" s="16" t="n"/>
      <c r="R287" s="16" t="n"/>
      <c r="S287" s="16" t="n"/>
      <c r="T287" s="16" t="n"/>
      <c r="U287" s="16" t="n"/>
      <c r="V287" s="16" t="n"/>
      <c r="W287" s="16" t="n"/>
      <c r="X287" s="16" t="n"/>
      <c r="Y287" s="16" t="n"/>
      <c r="Z287" s="16" t="n"/>
    </row>
    <row r="288">
      <c r="A288" s="16" t="n"/>
      <c r="B288" s="16" t="n"/>
      <c r="C288" s="16" t="n"/>
      <c r="D288" s="16" t="n"/>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row>
    <row r="289">
      <c r="A289" s="16" t="n"/>
      <c r="B289" s="16" t="n"/>
      <c r="C289" s="16" t="n"/>
      <c r="D289" s="16" t="n"/>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row>
    <row r="290">
      <c r="A290" s="16" t="n"/>
      <c r="B290" s="16" t="n"/>
      <c r="C290" s="16" t="n"/>
      <c r="D290" s="16" t="n"/>
      <c r="E290" s="16" t="n"/>
      <c r="F290" s="16" t="n"/>
      <c r="G290" s="16" t="n"/>
      <c r="H290" s="16" t="n"/>
      <c r="I290" s="16" t="n"/>
      <c r="J290" s="16" t="n"/>
      <c r="K290" s="16" t="n"/>
      <c r="L290" s="16" t="n"/>
      <c r="M290" s="16" t="n"/>
      <c r="N290" s="16" t="n"/>
      <c r="O290" s="16" t="n"/>
      <c r="P290" s="16" t="n"/>
      <c r="Q290" s="16" t="n"/>
      <c r="R290" s="16" t="n"/>
      <c r="S290" s="16" t="n"/>
      <c r="T290" s="16" t="n"/>
      <c r="U290" s="16" t="n"/>
      <c r="V290" s="16" t="n"/>
      <c r="W290" s="16" t="n"/>
      <c r="X290" s="16" t="n"/>
      <c r="Y290" s="16" t="n"/>
      <c r="Z290" s="16" t="n"/>
    </row>
    <row r="291">
      <c r="A291" s="16" t="n"/>
      <c r="B291" s="16" t="n"/>
      <c r="C291" s="16" t="n"/>
      <c r="D291" s="16" t="n"/>
      <c r="E291" s="16" t="n"/>
      <c r="F291" s="16" t="n"/>
      <c r="G291" s="16" t="n"/>
      <c r="H291" s="16" t="n"/>
      <c r="I291" s="16" t="n"/>
      <c r="J291" s="16" t="n"/>
      <c r="K291" s="16" t="n"/>
      <c r="L291" s="16" t="n"/>
      <c r="M291" s="16" t="n"/>
      <c r="N291" s="16" t="n"/>
      <c r="O291" s="16" t="n"/>
      <c r="P291" s="16" t="n"/>
      <c r="Q291" s="16" t="n"/>
      <c r="R291" s="16" t="n"/>
      <c r="S291" s="16" t="n"/>
      <c r="T291" s="16" t="n"/>
      <c r="U291" s="16" t="n"/>
      <c r="V291" s="16" t="n"/>
      <c r="W291" s="16" t="n"/>
      <c r="X291" s="16" t="n"/>
      <c r="Y291" s="16" t="n"/>
      <c r="Z291" s="16" t="n"/>
    </row>
    <row r="292">
      <c r="A292" s="16" t="n"/>
      <c r="B292" s="16" t="n"/>
      <c r="C292" s="16" t="n"/>
      <c r="D292" s="16" t="n"/>
      <c r="E292" s="16" t="n"/>
      <c r="F292" s="16" t="n"/>
      <c r="G292" s="16" t="n"/>
      <c r="H292" s="16" t="n"/>
      <c r="I292" s="16" t="n"/>
      <c r="J292" s="16" t="n"/>
      <c r="K292" s="16" t="n"/>
      <c r="L292" s="16" t="n"/>
      <c r="M292" s="16" t="n"/>
      <c r="N292" s="16" t="n"/>
      <c r="O292" s="16" t="n"/>
      <c r="P292" s="16" t="n"/>
      <c r="Q292" s="16" t="n"/>
      <c r="R292" s="16" t="n"/>
      <c r="S292" s="16" t="n"/>
      <c r="T292" s="16" t="n"/>
      <c r="U292" s="16" t="n"/>
      <c r="V292" s="16" t="n"/>
      <c r="W292" s="16" t="n"/>
      <c r="X292" s="16" t="n"/>
      <c r="Y292" s="16" t="n"/>
      <c r="Z292" s="16" t="n"/>
    </row>
    <row r="293">
      <c r="A293" s="16" t="n"/>
      <c r="B293" s="16" t="n"/>
      <c r="C293" s="16" t="n"/>
      <c r="D293" s="16" t="n"/>
      <c r="E293" s="16" t="n"/>
      <c r="F293" s="16" t="n"/>
      <c r="G293" s="16" t="n"/>
      <c r="H293" s="16" t="n"/>
      <c r="I293" s="16" t="n"/>
      <c r="J293" s="16" t="n"/>
      <c r="K293" s="16" t="n"/>
      <c r="L293" s="16" t="n"/>
      <c r="M293" s="16" t="n"/>
      <c r="N293" s="16" t="n"/>
      <c r="O293" s="16" t="n"/>
      <c r="P293" s="16" t="n"/>
      <c r="Q293" s="16" t="n"/>
      <c r="R293" s="16" t="n"/>
      <c r="S293" s="16" t="n"/>
      <c r="T293" s="16" t="n"/>
      <c r="U293" s="16" t="n"/>
      <c r="V293" s="16" t="n"/>
      <c r="W293" s="16" t="n"/>
      <c r="X293" s="16" t="n"/>
      <c r="Y293" s="16" t="n"/>
      <c r="Z293" s="16" t="n"/>
    </row>
    <row r="294">
      <c r="A294" s="16" t="n"/>
      <c r="B294" s="16" t="n"/>
      <c r="C294" s="16" t="n"/>
      <c r="D294" s="16" t="n"/>
      <c r="E294" s="16" t="n"/>
      <c r="F294" s="16" t="n"/>
      <c r="G294" s="16" t="n"/>
      <c r="H294" s="16" t="n"/>
      <c r="I294" s="16" t="n"/>
      <c r="J294" s="16" t="n"/>
      <c r="K294" s="16" t="n"/>
      <c r="L294" s="16" t="n"/>
      <c r="M294" s="16" t="n"/>
      <c r="N294" s="16" t="n"/>
      <c r="O294" s="16" t="n"/>
      <c r="P294" s="16" t="n"/>
      <c r="Q294" s="16" t="n"/>
      <c r="R294" s="16" t="n"/>
      <c r="S294" s="16" t="n"/>
      <c r="T294" s="16" t="n"/>
      <c r="U294" s="16" t="n"/>
      <c r="V294" s="16" t="n"/>
      <c r="W294" s="16" t="n"/>
      <c r="X294" s="16" t="n"/>
      <c r="Y294" s="16" t="n"/>
      <c r="Z294" s="16" t="n"/>
    </row>
    <row r="295">
      <c r="A295" s="16" t="n"/>
      <c r="B295" s="16" t="n"/>
      <c r="C295" s="16" t="n"/>
      <c r="D295" s="16" t="n"/>
      <c r="E295" s="16" t="n"/>
      <c r="F295" s="16" t="n"/>
      <c r="G295" s="16" t="n"/>
      <c r="H295" s="16" t="n"/>
      <c r="I295" s="16" t="n"/>
      <c r="J295" s="16" t="n"/>
      <c r="K295" s="16" t="n"/>
      <c r="L295" s="16" t="n"/>
      <c r="M295" s="16" t="n"/>
      <c r="N295" s="16" t="n"/>
      <c r="O295" s="16" t="n"/>
      <c r="P295" s="16" t="n"/>
      <c r="Q295" s="16" t="n"/>
      <c r="R295" s="16" t="n"/>
      <c r="S295" s="16" t="n"/>
      <c r="T295" s="16" t="n"/>
      <c r="U295" s="16" t="n"/>
      <c r="V295" s="16" t="n"/>
      <c r="W295" s="16" t="n"/>
      <c r="X295" s="16" t="n"/>
      <c r="Y295" s="16" t="n"/>
      <c r="Z295" s="16" t="n"/>
    </row>
    <row r="296">
      <c r="A296" s="16" t="n"/>
      <c r="B296" s="16" t="n"/>
      <c r="C296" s="16" t="n"/>
      <c r="D296" s="16" t="n"/>
      <c r="E296" s="16" t="n"/>
      <c r="F296" s="16" t="n"/>
      <c r="G296" s="16" t="n"/>
      <c r="H296" s="16" t="n"/>
      <c r="I296" s="16" t="n"/>
      <c r="J296" s="16" t="n"/>
      <c r="K296" s="16" t="n"/>
      <c r="L296" s="16" t="n"/>
      <c r="M296" s="16" t="n"/>
      <c r="N296" s="16" t="n"/>
      <c r="O296" s="16" t="n"/>
      <c r="P296" s="16" t="n"/>
      <c r="Q296" s="16" t="n"/>
      <c r="R296" s="16" t="n"/>
      <c r="S296" s="16" t="n"/>
      <c r="T296" s="16" t="n"/>
      <c r="U296" s="16" t="n"/>
      <c r="V296" s="16" t="n"/>
      <c r="W296" s="16" t="n"/>
      <c r="X296" s="16" t="n"/>
      <c r="Y296" s="16" t="n"/>
      <c r="Z296" s="16" t="n"/>
    </row>
    <row r="297">
      <c r="A297" s="16" t="n"/>
      <c r="B297" s="16" t="n"/>
      <c r="C297" s="16" t="n"/>
      <c r="D297" s="16" t="n"/>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row>
    <row r="298">
      <c r="A298" s="16" t="n"/>
      <c r="B298" s="16" t="n"/>
      <c r="C298" s="16" t="n"/>
      <c r="D298" s="16" t="n"/>
      <c r="E298" s="16" t="n"/>
      <c r="F298" s="16" t="n"/>
      <c r="G298" s="16" t="n"/>
      <c r="H298" s="16" t="n"/>
      <c r="I298" s="16" t="n"/>
      <c r="J298" s="16" t="n"/>
      <c r="K298" s="16" t="n"/>
      <c r="L298" s="16" t="n"/>
      <c r="M298" s="16" t="n"/>
      <c r="N298" s="16" t="n"/>
      <c r="O298" s="16" t="n"/>
      <c r="P298" s="16" t="n"/>
      <c r="Q298" s="16" t="n"/>
      <c r="R298" s="16" t="n"/>
      <c r="S298" s="16" t="n"/>
      <c r="T298" s="16" t="n"/>
      <c r="U298" s="16" t="n"/>
      <c r="V298" s="16" t="n"/>
      <c r="W298" s="16" t="n"/>
      <c r="X298" s="16" t="n"/>
      <c r="Y298" s="16" t="n"/>
      <c r="Z298" s="16" t="n"/>
    </row>
    <row r="299">
      <c r="A299" s="16" t="n"/>
      <c r="B299" s="16" t="n"/>
      <c r="C299" s="16" t="n"/>
      <c r="D299" s="16" t="n"/>
      <c r="E299" s="16" t="n"/>
      <c r="F299" s="16" t="n"/>
      <c r="G299" s="16" t="n"/>
      <c r="H299" s="16" t="n"/>
      <c r="I299" s="16" t="n"/>
      <c r="J299" s="16" t="n"/>
      <c r="K299" s="16" t="n"/>
      <c r="L299" s="16" t="n"/>
      <c r="M299" s="16" t="n"/>
      <c r="N299" s="16" t="n"/>
      <c r="O299" s="16" t="n"/>
      <c r="P299" s="16" t="n"/>
      <c r="Q299" s="16" t="n"/>
      <c r="R299" s="16" t="n"/>
      <c r="S299" s="16" t="n"/>
      <c r="T299" s="16" t="n"/>
      <c r="U299" s="16" t="n"/>
      <c r="V299" s="16" t="n"/>
      <c r="W299" s="16" t="n"/>
      <c r="X299" s="16" t="n"/>
      <c r="Y299" s="16" t="n"/>
      <c r="Z299" s="16" t="n"/>
    </row>
    <row r="300">
      <c r="A300" s="16" t="n"/>
      <c r="B300" s="16" t="n"/>
      <c r="C300" s="16" t="n"/>
      <c r="D300" s="16" t="n"/>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row>
    <row r="301">
      <c r="A301" s="16" t="n"/>
      <c r="B301" s="16" t="n"/>
      <c r="C301" s="16" t="n"/>
      <c r="D301" s="16" t="n"/>
      <c r="E301" s="16" t="n"/>
      <c r="F301" s="16" t="n"/>
      <c r="G301" s="16" t="n"/>
      <c r="H301" s="16" t="n"/>
      <c r="I301" s="16" t="n"/>
      <c r="J301" s="16" t="n"/>
      <c r="K301" s="16" t="n"/>
      <c r="L301" s="16" t="n"/>
      <c r="M301" s="16" t="n"/>
      <c r="N301" s="16" t="n"/>
      <c r="O301" s="16" t="n"/>
      <c r="P301" s="16" t="n"/>
      <c r="Q301" s="16" t="n"/>
      <c r="R301" s="16" t="n"/>
      <c r="S301" s="16" t="n"/>
      <c r="T301" s="16" t="n"/>
      <c r="U301" s="16" t="n"/>
      <c r="V301" s="16" t="n"/>
      <c r="W301" s="16" t="n"/>
      <c r="X301" s="16" t="n"/>
      <c r="Y301" s="16" t="n"/>
      <c r="Z301" s="16" t="n"/>
    </row>
    <row r="302">
      <c r="A302" s="16" t="n"/>
      <c r="B302" s="16" t="n"/>
      <c r="C302" s="16" t="n"/>
      <c r="D302" s="16" t="n"/>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row>
    <row r="303">
      <c r="A303" s="16" t="n"/>
      <c r="B303" s="16" t="n"/>
      <c r="C303" s="16" t="n"/>
      <c r="D303" s="16" t="n"/>
      <c r="E303" s="16" t="n"/>
      <c r="F303" s="16" t="n"/>
      <c r="G303" s="16" t="n"/>
      <c r="H303" s="16" t="n"/>
      <c r="I303" s="16" t="n"/>
      <c r="J303" s="16" t="n"/>
      <c r="K303" s="16" t="n"/>
      <c r="L303" s="16" t="n"/>
      <c r="M303" s="16" t="n"/>
      <c r="N303" s="16" t="n"/>
      <c r="O303" s="16" t="n"/>
      <c r="P303" s="16" t="n"/>
      <c r="Q303" s="16" t="n"/>
      <c r="R303" s="16" t="n"/>
      <c r="S303" s="16" t="n"/>
      <c r="T303" s="16" t="n"/>
      <c r="U303" s="16" t="n"/>
      <c r="V303" s="16" t="n"/>
      <c r="W303" s="16" t="n"/>
      <c r="X303" s="16" t="n"/>
      <c r="Y303" s="16" t="n"/>
      <c r="Z303" s="16" t="n"/>
    </row>
    <row r="304">
      <c r="A304" s="16" t="n"/>
      <c r="B304" s="16" t="n"/>
      <c r="C304" s="16" t="n"/>
      <c r="D304" s="16" t="n"/>
      <c r="E304" s="16" t="n"/>
      <c r="F304" s="16" t="n"/>
      <c r="G304" s="16" t="n"/>
      <c r="H304" s="16" t="n"/>
      <c r="I304" s="16" t="n"/>
      <c r="J304" s="16" t="n"/>
      <c r="K304" s="16" t="n"/>
      <c r="L304" s="16" t="n"/>
      <c r="M304" s="16" t="n"/>
      <c r="N304" s="16" t="n"/>
      <c r="O304" s="16" t="n"/>
      <c r="P304" s="16" t="n"/>
      <c r="Q304" s="16" t="n"/>
      <c r="R304" s="16" t="n"/>
      <c r="S304" s="16" t="n"/>
      <c r="T304" s="16" t="n"/>
      <c r="U304" s="16" t="n"/>
      <c r="V304" s="16" t="n"/>
      <c r="W304" s="16" t="n"/>
      <c r="X304" s="16" t="n"/>
      <c r="Y304" s="16" t="n"/>
      <c r="Z304" s="16" t="n"/>
    </row>
    <row r="305">
      <c r="A305" s="16" t="n"/>
      <c r="B305" s="16" t="n"/>
      <c r="C305" s="16" t="n"/>
      <c r="D305" s="16" t="n"/>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row>
    <row r="306">
      <c r="A306" s="16" t="n"/>
      <c r="B306" s="16" t="n"/>
      <c r="C306" s="16" t="n"/>
      <c r="D306" s="16" t="n"/>
      <c r="E306" s="16" t="n"/>
      <c r="F306" s="16" t="n"/>
      <c r="G306" s="16" t="n"/>
      <c r="H306" s="16" t="n"/>
      <c r="I306" s="16" t="n"/>
      <c r="J306" s="16" t="n"/>
      <c r="K306" s="16" t="n"/>
      <c r="L306" s="16" t="n"/>
      <c r="M306" s="16" t="n"/>
      <c r="N306" s="16" t="n"/>
      <c r="O306" s="16" t="n"/>
      <c r="P306" s="16" t="n"/>
      <c r="Q306" s="16" t="n"/>
      <c r="R306" s="16" t="n"/>
      <c r="S306" s="16" t="n"/>
      <c r="T306" s="16" t="n"/>
      <c r="U306" s="16" t="n"/>
      <c r="V306" s="16" t="n"/>
      <c r="W306" s="16" t="n"/>
      <c r="X306" s="16" t="n"/>
      <c r="Y306" s="16" t="n"/>
      <c r="Z306" s="16" t="n"/>
    </row>
    <row r="307">
      <c r="A307" s="16" t="n"/>
      <c r="B307" s="16" t="n"/>
      <c r="C307" s="16" t="n"/>
      <c r="D307" s="16" t="n"/>
      <c r="E307" s="16" t="n"/>
      <c r="F307" s="16" t="n"/>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row>
    <row r="308">
      <c r="A308" s="16" t="n"/>
      <c r="B308" s="16" t="n"/>
      <c r="C308" s="16" t="n"/>
      <c r="D308" s="16" t="n"/>
      <c r="E308" s="16" t="n"/>
      <c r="F308" s="16" t="n"/>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row>
    <row r="309">
      <c r="A309" s="16" t="n"/>
      <c r="B309" s="16" t="n"/>
      <c r="C309" s="16" t="n"/>
      <c r="D309" s="16" t="n"/>
      <c r="E309" s="16" t="n"/>
      <c r="F309" s="16" t="n"/>
      <c r="G309" s="16" t="n"/>
      <c r="H309" s="16" t="n"/>
      <c r="I309" s="16" t="n"/>
      <c r="J309" s="16" t="n"/>
      <c r="K309" s="16" t="n"/>
      <c r="L309" s="16" t="n"/>
      <c r="M309" s="16" t="n"/>
      <c r="N309" s="16" t="n"/>
      <c r="O309" s="16" t="n"/>
      <c r="P309" s="16" t="n"/>
      <c r="Q309" s="16" t="n"/>
      <c r="R309" s="16" t="n"/>
      <c r="S309" s="16" t="n"/>
      <c r="T309" s="16" t="n"/>
      <c r="U309" s="16" t="n"/>
      <c r="V309" s="16" t="n"/>
      <c r="W309" s="16" t="n"/>
      <c r="X309" s="16" t="n"/>
      <c r="Y309" s="16" t="n"/>
      <c r="Z309" s="16" t="n"/>
    </row>
    <row r="310">
      <c r="A310" s="16" t="n"/>
      <c r="B310" s="16" t="n"/>
      <c r="C310" s="16" t="n"/>
      <c r="D310" s="16" t="n"/>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row>
    <row r="311">
      <c r="A311" s="16" t="n"/>
      <c r="B311" s="16" t="n"/>
      <c r="C311" s="16" t="n"/>
      <c r="D311" s="16" t="n"/>
      <c r="E311" s="16" t="n"/>
      <c r="F311" s="16" t="n"/>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row>
    <row r="312">
      <c r="A312" s="16" t="n"/>
      <c r="B312" s="16" t="n"/>
      <c r="C312" s="16" t="n"/>
      <c r="D312" s="16" t="n"/>
      <c r="E312" s="16" t="n"/>
      <c r="F312" s="16" t="n"/>
      <c r="G312" s="16" t="n"/>
      <c r="H312" s="16" t="n"/>
      <c r="I312" s="16" t="n"/>
      <c r="J312" s="16" t="n"/>
      <c r="K312" s="16" t="n"/>
      <c r="L312" s="16" t="n"/>
      <c r="M312" s="16" t="n"/>
      <c r="N312" s="16" t="n"/>
      <c r="O312" s="16" t="n"/>
      <c r="P312" s="16" t="n"/>
      <c r="Q312" s="16" t="n"/>
      <c r="R312" s="16" t="n"/>
      <c r="S312" s="16" t="n"/>
      <c r="T312" s="16" t="n"/>
      <c r="U312" s="16" t="n"/>
      <c r="V312" s="16" t="n"/>
      <c r="W312" s="16" t="n"/>
      <c r="X312" s="16" t="n"/>
      <c r="Y312" s="16" t="n"/>
      <c r="Z312" s="16" t="n"/>
    </row>
    <row r="313">
      <c r="A313" s="16" t="n"/>
      <c r="B313" s="16" t="n"/>
      <c r="C313" s="16" t="n"/>
      <c r="D313" s="16" t="n"/>
      <c r="E313" s="16" t="n"/>
      <c r="F313" s="16" t="n"/>
      <c r="G313" s="16" t="n"/>
      <c r="H313" s="16" t="n"/>
      <c r="I313" s="16" t="n"/>
      <c r="J313" s="16" t="n"/>
      <c r="K313" s="16" t="n"/>
      <c r="L313" s="16" t="n"/>
      <c r="M313" s="16" t="n"/>
      <c r="N313" s="16" t="n"/>
      <c r="O313" s="16" t="n"/>
      <c r="P313" s="16" t="n"/>
      <c r="Q313" s="16" t="n"/>
      <c r="R313" s="16" t="n"/>
      <c r="S313" s="16" t="n"/>
      <c r="T313" s="16" t="n"/>
      <c r="U313" s="16" t="n"/>
      <c r="V313" s="16" t="n"/>
      <c r="W313" s="16" t="n"/>
      <c r="X313" s="16" t="n"/>
      <c r="Y313" s="16" t="n"/>
      <c r="Z313" s="16" t="n"/>
    </row>
    <row r="314">
      <c r="A314" s="16" t="n"/>
      <c r="B314" s="16" t="n"/>
      <c r="C314" s="16" t="n"/>
      <c r="D314" s="16" t="n"/>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row>
    <row r="315">
      <c r="A315" s="16" t="n"/>
      <c r="B315" s="16" t="n"/>
      <c r="C315" s="16" t="n"/>
      <c r="D315" s="16" t="n"/>
      <c r="E315" s="16" t="n"/>
      <c r="F315" s="16" t="n"/>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row>
    <row r="316">
      <c r="A316" s="16" t="n"/>
      <c r="B316" s="16" t="n"/>
      <c r="C316" s="16" t="n"/>
      <c r="D316" s="16" t="n"/>
      <c r="E316" s="16" t="n"/>
      <c r="F316" s="16" t="n"/>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row>
    <row r="317">
      <c r="A317" s="16" t="n"/>
      <c r="B317" s="16" t="n"/>
      <c r="C317" s="16" t="n"/>
      <c r="D317" s="16" t="n"/>
      <c r="E317" s="16" t="n"/>
      <c r="F317" s="16" t="n"/>
      <c r="G317" s="16" t="n"/>
      <c r="H317" s="16" t="n"/>
      <c r="I317" s="16" t="n"/>
      <c r="J317" s="16" t="n"/>
      <c r="K317" s="16" t="n"/>
      <c r="L317" s="16" t="n"/>
      <c r="M317" s="16" t="n"/>
      <c r="N317" s="16" t="n"/>
      <c r="O317" s="16" t="n"/>
      <c r="P317" s="16" t="n"/>
      <c r="Q317" s="16" t="n"/>
      <c r="R317" s="16" t="n"/>
      <c r="S317" s="16" t="n"/>
      <c r="T317" s="16" t="n"/>
      <c r="U317" s="16" t="n"/>
      <c r="V317" s="16" t="n"/>
      <c r="W317" s="16" t="n"/>
      <c r="X317" s="16" t="n"/>
      <c r="Y317" s="16" t="n"/>
      <c r="Z317" s="16" t="n"/>
    </row>
    <row r="318">
      <c r="A318" s="16" t="n"/>
      <c r="B318" s="16" t="n"/>
      <c r="C318" s="16" t="n"/>
      <c r="D318" s="16" t="n"/>
      <c r="E318" s="16" t="n"/>
      <c r="F318" s="16" t="n"/>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row>
    <row r="319">
      <c r="A319" s="16" t="n"/>
      <c r="B319" s="16" t="n"/>
      <c r="C319" s="16" t="n"/>
      <c r="D319" s="16" t="n"/>
      <c r="E319" s="16" t="n"/>
      <c r="F319" s="16" t="n"/>
      <c r="G319" s="16" t="n"/>
      <c r="H319" s="16" t="n"/>
      <c r="I319" s="16" t="n"/>
      <c r="J319" s="16" t="n"/>
      <c r="K319" s="16" t="n"/>
      <c r="L319" s="16" t="n"/>
      <c r="M319" s="16" t="n"/>
      <c r="N319" s="16" t="n"/>
      <c r="O319" s="16" t="n"/>
      <c r="P319" s="16" t="n"/>
      <c r="Q319" s="16" t="n"/>
      <c r="R319" s="16" t="n"/>
      <c r="S319" s="16" t="n"/>
      <c r="T319" s="16" t="n"/>
      <c r="U319" s="16" t="n"/>
      <c r="V319" s="16" t="n"/>
      <c r="W319" s="16" t="n"/>
      <c r="X319" s="16" t="n"/>
      <c r="Y319" s="16" t="n"/>
      <c r="Z319" s="16" t="n"/>
    </row>
    <row r="320">
      <c r="A320" s="16" t="n"/>
      <c r="B320" s="16" t="n"/>
      <c r="C320" s="16" t="n"/>
      <c r="D320" s="16" t="n"/>
      <c r="E320" s="16" t="n"/>
      <c r="F320" s="16" t="n"/>
      <c r="G320" s="16" t="n"/>
      <c r="H320" s="16" t="n"/>
      <c r="I320" s="16" t="n"/>
      <c r="J320" s="16" t="n"/>
      <c r="K320" s="16" t="n"/>
      <c r="L320" s="16" t="n"/>
      <c r="M320" s="16" t="n"/>
      <c r="N320" s="16" t="n"/>
      <c r="O320" s="16" t="n"/>
      <c r="P320" s="16" t="n"/>
      <c r="Q320" s="16" t="n"/>
      <c r="R320" s="16" t="n"/>
      <c r="S320" s="16" t="n"/>
      <c r="T320" s="16" t="n"/>
      <c r="U320" s="16" t="n"/>
      <c r="V320" s="16" t="n"/>
      <c r="W320" s="16" t="n"/>
      <c r="X320" s="16" t="n"/>
      <c r="Y320" s="16" t="n"/>
      <c r="Z320" s="16" t="n"/>
    </row>
    <row r="321">
      <c r="A321" s="16" t="n"/>
      <c r="B321" s="16" t="n"/>
      <c r="C321" s="16" t="n"/>
      <c r="D321" s="16" t="n"/>
      <c r="E321" s="16" t="n"/>
      <c r="F321" s="16" t="n"/>
      <c r="G321" s="16" t="n"/>
      <c r="H321" s="16" t="n"/>
      <c r="I321" s="16" t="n"/>
      <c r="J321" s="16" t="n"/>
      <c r="K321" s="16" t="n"/>
      <c r="L321" s="16" t="n"/>
      <c r="M321" s="16" t="n"/>
      <c r="N321" s="16" t="n"/>
      <c r="O321" s="16" t="n"/>
      <c r="P321" s="16" t="n"/>
      <c r="Q321" s="16" t="n"/>
      <c r="R321" s="16" t="n"/>
      <c r="S321" s="16" t="n"/>
      <c r="T321" s="16" t="n"/>
      <c r="U321" s="16" t="n"/>
      <c r="V321" s="16" t="n"/>
      <c r="W321" s="16" t="n"/>
      <c r="X321" s="16" t="n"/>
      <c r="Y321" s="16" t="n"/>
      <c r="Z321" s="16" t="n"/>
    </row>
    <row r="322">
      <c r="A322" s="16" t="n"/>
      <c r="B322" s="16" t="n"/>
      <c r="C322" s="16" t="n"/>
      <c r="D322" s="16" t="n"/>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row>
    <row r="323">
      <c r="A323" s="16" t="n"/>
      <c r="B323" s="16" t="n"/>
      <c r="C323" s="16" t="n"/>
      <c r="D323" s="16" t="n"/>
      <c r="E323" s="16" t="n"/>
      <c r="F323" s="16" t="n"/>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row>
    <row r="324">
      <c r="A324" s="16" t="n"/>
      <c r="B324" s="16" t="n"/>
      <c r="C324" s="16" t="n"/>
      <c r="D324" s="16" t="n"/>
      <c r="E324" s="16" t="n"/>
      <c r="F324" s="16" t="n"/>
      <c r="G324" s="16" t="n"/>
      <c r="H324" s="16" t="n"/>
      <c r="I324" s="16" t="n"/>
      <c r="J324" s="16" t="n"/>
      <c r="K324" s="16" t="n"/>
      <c r="L324" s="16" t="n"/>
      <c r="M324" s="16" t="n"/>
      <c r="N324" s="16" t="n"/>
      <c r="O324" s="16" t="n"/>
      <c r="P324" s="16" t="n"/>
      <c r="Q324" s="16" t="n"/>
      <c r="R324" s="16" t="n"/>
      <c r="S324" s="16" t="n"/>
      <c r="T324" s="16" t="n"/>
      <c r="U324" s="16" t="n"/>
      <c r="V324" s="16" t="n"/>
      <c r="W324" s="16" t="n"/>
      <c r="X324" s="16" t="n"/>
      <c r="Y324" s="16" t="n"/>
      <c r="Z324" s="16" t="n"/>
    </row>
    <row r="325">
      <c r="A325" s="16" t="n"/>
      <c r="B325" s="16" t="n"/>
      <c r="C325" s="16" t="n"/>
      <c r="D325" s="16" t="n"/>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row>
    <row r="326">
      <c r="A326" s="16" t="n"/>
      <c r="B326" s="16" t="n"/>
      <c r="C326" s="16" t="n"/>
      <c r="D326" s="16" t="n"/>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row>
    <row r="327">
      <c r="A327" s="16" t="n"/>
      <c r="B327" s="16" t="n"/>
      <c r="C327" s="16" t="n"/>
      <c r="D327" s="16" t="n"/>
      <c r="E327" s="16" t="n"/>
      <c r="F327" s="16" t="n"/>
      <c r="G327" s="16" t="n"/>
      <c r="H327" s="16" t="n"/>
      <c r="I327" s="16" t="n"/>
      <c r="J327" s="16" t="n"/>
      <c r="K327" s="16" t="n"/>
      <c r="L327" s="16" t="n"/>
      <c r="M327" s="16" t="n"/>
      <c r="N327" s="16" t="n"/>
      <c r="O327" s="16" t="n"/>
      <c r="P327" s="16" t="n"/>
      <c r="Q327" s="16" t="n"/>
      <c r="R327" s="16" t="n"/>
      <c r="S327" s="16" t="n"/>
      <c r="T327" s="16" t="n"/>
      <c r="U327" s="16" t="n"/>
      <c r="V327" s="16" t="n"/>
      <c r="W327" s="16" t="n"/>
      <c r="X327" s="16" t="n"/>
      <c r="Y327" s="16" t="n"/>
      <c r="Z327" s="16" t="n"/>
    </row>
    <row r="328">
      <c r="A328" s="16" t="n"/>
      <c r="B328" s="16" t="n"/>
      <c r="C328" s="16" t="n"/>
      <c r="D328" s="16" t="n"/>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row>
    <row r="329">
      <c r="A329" s="16" t="n"/>
      <c r="B329" s="16" t="n"/>
      <c r="C329" s="16" t="n"/>
      <c r="D329" s="16" t="n"/>
      <c r="E329" s="16" t="n"/>
      <c r="F329" s="16" t="n"/>
      <c r="G329" s="16" t="n"/>
      <c r="H329" s="16" t="n"/>
      <c r="I329" s="16" t="n"/>
      <c r="J329" s="16" t="n"/>
      <c r="K329" s="16" t="n"/>
      <c r="L329" s="16" t="n"/>
      <c r="M329" s="16" t="n"/>
      <c r="N329" s="16" t="n"/>
      <c r="O329" s="16" t="n"/>
      <c r="P329" s="16" t="n"/>
      <c r="Q329" s="16" t="n"/>
      <c r="R329" s="16" t="n"/>
      <c r="S329" s="16" t="n"/>
      <c r="T329" s="16" t="n"/>
      <c r="U329" s="16" t="n"/>
      <c r="V329" s="16" t="n"/>
      <c r="W329" s="16" t="n"/>
      <c r="X329" s="16" t="n"/>
      <c r="Y329" s="16" t="n"/>
      <c r="Z329" s="16" t="n"/>
    </row>
    <row r="330">
      <c r="A330" s="16" t="n"/>
      <c r="B330" s="16" t="n"/>
      <c r="C330" s="16" t="n"/>
      <c r="D330" s="16" t="n"/>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row>
    <row r="331">
      <c r="A331" s="16" t="n"/>
      <c r="B331" s="16" t="n"/>
      <c r="C331" s="16" t="n"/>
      <c r="D331" s="16" t="n"/>
      <c r="E331" s="16" t="n"/>
      <c r="F331" s="16" t="n"/>
      <c r="G331" s="16" t="n"/>
      <c r="H331" s="16" t="n"/>
      <c r="I331" s="16" t="n"/>
      <c r="J331" s="16" t="n"/>
      <c r="K331" s="16" t="n"/>
      <c r="L331" s="16" t="n"/>
      <c r="M331" s="16" t="n"/>
      <c r="N331" s="16" t="n"/>
      <c r="O331" s="16" t="n"/>
      <c r="P331" s="16" t="n"/>
      <c r="Q331" s="16" t="n"/>
      <c r="R331" s="16" t="n"/>
      <c r="S331" s="16" t="n"/>
      <c r="T331" s="16" t="n"/>
      <c r="U331" s="16" t="n"/>
      <c r="V331" s="16" t="n"/>
      <c r="W331" s="16" t="n"/>
      <c r="X331" s="16" t="n"/>
      <c r="Y331" s="16" t="n"/>
      <c r="Z331" s="16" t="n"/>
    </row>
    <row r="332">
      <c r="A332" s="16" t="n"/>
      <c r="B332" s="16" t="n"/>
      <c r="C332" s="16" t="n"/>
      <c r="D332" s="16" t="n"/>
      <c r="E332" s="16" t="n"/>
      <c r="F332" s="16" t="n"/>
      <c r="G332" s="16" t="n"/>
      <c r="H332" s="16" t="n"/>
      <c r="I332" s="16" t="n"/>
      <c r="J332" s="16" t="n"/>
      <c r="K332" s="16" t="n"/>
      <c r="L332" s="16" t="n"/>
      <c r="M332" s="16" t="n"/>
      <c r="N332" s="16" t="n"/>
      <c r="O332" s="16" t="n"/>
      <c r="P332" s="16" t="n"/>
      <c r="Q332" s="16" t="n"/>
      <c r="R332" s="16" t="n"/>
      <c r="S332" s="16" t="n"/>
      <c r="T332" s="16" t="n"/>
      <c r="U332" s="16" t="n"/>
      <c r="V332" s="16" t="n"/>
      <c r="W332" s="16" t="n"/>
      <c r="X332" s="16" t="n"/>
      <c r="Y332" s="16" t="n"/>
      <c r="Z332" s="16" t="n"/>
    </row>
    <row r="333">
      <c r="A333" s="16" t="n"/>
      <c r="B333" s="16" t="n"/>
      <c r="C333" s="16" t="n"/>
      <c r="D333" s="16" t="n"/>
      <c r="E333" s="16" t="n"/>
      <c r="F333" s="16" t="n"/>
      <c r="G333" s="16" t="n"/>
      <c r="H333" s="16" t="n"/>
      <c r="I333" s="16" t="n"/>
      <c r="J333" s="16" t="n"/>
      <c r="K333" s="16" t="n"/>
      <c r="L333" s="16" t="n"/>
      <c r="M333" s="16" t="n"/>
      <c r="N333" s="16" t="n"/>
      <c r="O333" s="16" t="n"/>
      <c r="P333" s="16" t="n"/>
      <c r="Q333" s="16" t="n"/>
      <c r="R333" s="16" t="n"/>
      <c r="S333" s="16" t="n"/>
      <c r="T333" s="16" t="n"/>
      <c r="U333" s="16" t="n"/>
      <c r="V333" s="16" t="n"/>
      <c r="W333" s="16" t="n"/>
      <c r="X333" s="16" t="n"/>
      <c r="Y333" s="16" t="n"/>
      <c r="Z333" s="16" t="n"/>
    </row>
    <row r="334">
      <c r="A334" s="16" t="n"/>
      <c r="B334" s="16" t="n"/>
      <c r="C334" s="16" t="n"/>
      <c r="D334" s="16" t="n"/>
      <c r="E334" s="16" t="n"/>
      <c r="F334" s="16" t="n"/>
      <c r="G334" s="16" t="n"/>
      <c r="H334" s="16" t="n"/>
      <c r="I334" s="16" t="n"/>
      <c r="J334" s="16" t="n"/>
      <c r="K334" s="16" t="n"/>
      <c r="L334" s="16" t="n"/>
      <c r="M334" s="16" t="n"/>
      <c r="N334" s="16" t="n"/>
      <c r="O334" s="16" t="n"/>
      <c r="P334" s="16" t="n"/>
      <c r="Q334" s="16" t="n"/>
      <c r="R334" s="16" t="n"/>
      <c r="S334" s="16" t="n"/>
      <c r="T334" s="16" t="n"/>
      <c r="U334" s="16" t="n"/>
      <c r="V334" s="16" t="n"/>
      <c r="W334" s="16" t="n"/>
      <c r="X334" s="16" t="n"/>
      <c r="Y334" s="16" t="n"/>
      <c r="Z334" s="16" t="n"/>
    </row>
    <row r="335">
      <c r="A335" s="16" t="n"/>
      <c r="B335" s="16" t="n"/>
      <c r="C335" s="16" t="n"/>
      <c r="D335" s="16" t="n"/>
      <c r="E335" s="16" t="n"/>
      <c r="F335" s="16" t="n"/>
      <c r="G335" s="16" t="n"/>
      <c r="H335" s="16" t="n"/>
      <c r="I335" s="16" t="n"/>
      <c r="J335" s="16" t="n"/>
      <c r="K335" s="16" t="n"/>
      <c r="L335" s="16" t="n"/>
      <c r="M335" s="16" t="n"/>
      <c r="N335" s="16" t="n"/>
      <c r="O335" s="16" t="n"/>
      <c r="P335" s="16" t="n"/>
      <c r="Q335" s="16" t="n"/>
      <c r="R335" s="16" t="n"/>
      <c r="S335" s="16" t="n"/>
      <c r="T335" s="16" t="n"/>
      <c r="U335" s="16" t="n"/>
      <c r="V335" s="16" t="n"/>
      <c r="W335" s="16" t="n"/>
      <c r="X335" s="16" t="n"/>
      <c r="Y335" s="16" t="n"/>
      <c r="Z335" s="16" t="n"/>
    </row>
    <row r="336">
      <c r="A336" s="16" t="n"/>
      <c r="B336" s="16" t="n"/>
      <c r="C336" s="16" t="n"/>
      <c r="D336" s="16" t="n"/>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row>
    <row r="337">
      <c r="A337" s="16" t="n"/>
      <c r="B337" s="16" t="n"/>
      <c r="C337" s="16" t="n"/>
      <c r="D337" s="16" t="n"/>
      <c r="E337" s="16" t="n"/>
      <c r="F337" s="16" t="n"/>
      <c r="G337" s="16" t="n"/>
      <c r="H337" s="16" t="n"/>
      <c r="I337" s="16" t="n"/>
      <c r="J337" s="16" t="n"/>
      <c r="K337" s="16" t="n"/>
      <c r="L337" s="16" t="n"/>
      <c r="M337" s="16" t="n"/>
      <c r="N337" s="16" t="n"/>
      <c r="O337" s="16" t="n"/>
      <c r="P337" s="16" t="n"/>
      <c r="Q337" s="16" t="n"/>
      <c r="R337" s="16" t="n"/>
      <c r="S337" s="16" t="n"/>
      <c r="T337" s="16" t="n"/>
      <c r="U337" s="16" t="n"/>
      <c r="V337" s="16" t="n"/>
      <c r="W337" s="16" t="n"/>
      <c r="X337" s="16" t="n"/>
      <c r="Y337" s="16" t="n"/>
      <c r="Z337" s="16" t="n"/>
    </row>
    <row r="338">
      <c r="A338" s="16" t="n"/>
      <c r="B338" s="16" t="n"/>
      <c r="C338" s="16" t="n"/>
      <c r="D338" s="16" t="n"/>
      <c r="E338" s="16" t="n"/>
      <c r="F338" s="16" t="n"/>
      <c r="G338" s="16" t="n"/>
      <c r="H338" s="16" t="n"/>
      <c r="I338" s="16" t="n"/>
      <c r="J338" s="16" t="n"/>
      <c r="K338" s="16" t="n"/>
      <c r="L338" s="16" t="n"/>
      <c r="M338" s="16" t="n"/>
      <c r="N338" s="16" t="n"/>
      <c r="O338" s="16" t="n"/>
      <c r="P338" s="16" t="n"/>
      <c r="Q338" s="16" t="n"/>
      <c r="R338" s="16" t="n"/>
      <c r="S338" s="16" t="n"/>
      <c r="T338" s="16" t="n"/>
      <c r="U338" s="16" t="n"/>
      <c r="V338" s="16" t="n"/>
      <c r="W338" s="16" t="n"/>
      <c r="X338" s="16" t="n"/>
      <c r="Y338" s="16" t="n"/>
      <c r="Z338" s="16" t="n"/>
    </row>
    <row r="339">
      <c r="A339" s="16" t="n"/>
      <c r="B339" s="16" t="n"/>
      <c r="C339" s="16" t="n"/>
      <c r="D339" s="16" t="n"/>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row>
    <row r="340">
      <c r="A340" s="16" t="n"/>
      <c r="B340" s="16" t="n"/>
      <c r="C340" s="16" t="n"/>
      <c r="D340" s="16" t="n"/>
      <c r="E340" s="16" t="n"/>
      <c r="F340" s="16" t="n"/>
      <c r="G340" s="16" t="n"/>
      <c r="H340" s="16" t="n"/>
      <c r="I340" s="16" t="n"/>
      <c r="J340" s="16" t="n"/>
      <c r="K340" s="16" t="n"/>
      <c r="L340" s="16" t="n"/>
      <c r="M340" s="16" t="n"/>
      <c r="N340" s="16" t="n"/>
      <c r="O340" s="16" t="n"/>
      <c r="P340" s="16" t="n"/>
      <c r="Q340" s="16" t="n"/>
      <c r="R340" s="16" t="n"/>
      <c r="S340" s="16" t="n"/>
      <c r="T340" s="16" t="n"/>
      <c r="U340" s="16" t="n"/>
      <c r="V340" s="16" t="n"/>
      <c r="W340" s="16" t="n"/>
      <c r="X340" s="16" t="n"/>
      <c r="Y340" s="16" t="n"/>
      <c r="Z340" s="16" t="n"/>
    </row>
    <row r="341">
      <c r="A341" s="16" t="n"/>
      <c r="B341" s="16" t="n"/>
      <c r="C341" s="16" t="n"/>
      <c r="D341" s="16" t="n"/>
      <c r="E341" s="16" t="n"/>
      <c r="F341" s="16" t="n"/>
      <c r="G341" s="16" t="n"/>
      <c r="H341" s="16" t="n"/>
      <c r="I341" s="16" t="n"/>
      <c r="J341" s="16" t="n"/>
      <c r="K341" s="16" t="n"/>
      <c r="L341" s="16" t="n"/>
      <c r="M341" s="16" t="n"/>
      <c r="N341" s="16" t="n"/>
      <c r="O341" s="16" t="n"/>
      <c r="P341" s="16" t="n"/>
      <c r="Q341" s="16" t="n"/>
      <c r="R341" s="16" t="n"/>
      <c r="S341" s="16" t="n"/>
      <c r="T341" s="16" t="n"/>
      <c r="U341" s="16" t="n"/>
      <c r="V341" s="16" t="n"/>
      <c r="W341" s="16" t="n"/>
      <c r="X341" s="16" t="n"/>
      <c r="Y341" s="16" t="n"/>
      <c r="Z341" s="16" t="n"/>
    </row>
    <row r="342">
      <c r="A342" s="16" t="n"/>
      <c r="B342" s="16" t="n"/>
      <c r="C342" s="16" t="n"/>
      <c r="D342" s="16" t="n"/>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row>
    <row r="343">
      <c r="A343" s="16" t="n"/>
      <c r="B343" s="16" t="n"/>
      <c r="C343" s="16" t="n"/>
      <c r="D343" s="16" t="n"/>
      <c r="E343" s="16" t="n"/>
      <c r="F343" s="16" t="n"/>
      <c r="G343" s="16" t="n"/>
      <c r="H343" s="16" t="n"/>
      <c r="I343" s="16" t="n"/>
      <c r="J343" s="16" t="n"/>
      <c r="K343" s="16" t="n"/>
      <c r="L343" s="16" t="n"/>
      <c r="M343" s="16" t="n"/>
      <c r="N343" s="16" t="n"/>
      <c r="O343" s="16" t="n"/>
      <c r="P343" s="16" t="n"/>
      <c r="Q343" s="16" t="n"/>
      <c r="R343" s="16" t="n"/>
      <c r="S343" s="16" t="n"/>
      <c r="T343" s="16" t="n"/>
      <c r="U343" s="16" t="n"/>
      <c r="V343" s="16" t="n"/>
      <c r="W343" s="16" t="n"/>
      <c r="X343" s="16" t="n"/>
      <c r="Y343" s="16" t="n"/>
      <c r="Z343" s="16" t="n"/>
    </row>
    <row r="344">
      <c r="A344" s="16" t="n"/>
      <c r="B344" s="16" t="n"/>
      <c r="C344" s="16" t="n"/>
      <c r="D344" s="16" t="n"/>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row>
    <row r="345">
      <c r="A345" s="16" t="n"/>
      <c r="B345" s="16" t="n"/>
      <c r="C345" s="16" t="n"/>
      <c r="D345" s="16" t="n"/>
      <c r="E345" s="16" t="n"/>
      <c r="F345" s="16" t="n"/>
      <c r="G345" s="16" t="n"/>
      <c r="H345" s="16" t="n"/>
      <c r="I345" s="16" t="n"/>
      <c r="J345" s="16" t="n"/>
      <c r="K345" s="16" t="n"/>
      <c r="L345" s="16" t="n"/>
      <c r="M345" s="16" t="n"/>
      <c r="N345" s="16" t="n"/>
      <c r="O345" s="16" t="n"/>
      <c r="P345" s="16" t="n"/>
      <c r="Q345" s="16" t="n"/>
      <c r="R345" s="16" t="n"/>
      <c r="S345" s="16" t="n"/>
      <c r="T345" s="16" t="n"/>
      <c r="U345" s="16" t="n"/>
      <c r="V345" s="16" t="n"/>
      <c r="W345" s="16" t="n"/>
      <c r="X345" s="16" t="n"/>
      <c r="Y345" s="16" t="n"/>
      <c r="Z345" s="16" t="n"/>
    </row>
    <row r="346">
      <c r="A346" s="16" t="n"/>
      <c r="B346" s="16" t="n"/>
      <c r="C346" s="16" t="n"/>
      <c r="D346" s="16" t="n"/>
      <c r="E346" s="16" t="n"/>
      <c r="F346" s="16" t="n"/>
      <c r="G346" s="16" t="n"/>
      <c r="H346" s="16" t="n"/>
      <c r="I346" s="16" t="n"/>
      <c r="J346" s="16" t="n"/>
      <c r="K346" s="16" t="n"/>
      <c r="L346" s="16" t="n"/>
      <c r="M346" s="16" t="n"/>
      <c r="N346" s="16" t="n"/>
      <c r="O346" s="16" t="n"/>
      <c r="P346" s="16" t="n"/>
      <c r="Q346" s="16" t="n"/>
      <c r="R346" s="16" t="n"/>
      <c r="S346" s="16" t="n"/>
      <c r="T346" s="16" t="n"/>
      <c r="U346" s="16" t="n"/>
      <c r="V346" s="16" t="n"/>
      <c r="W346" s="16" t="n"/>
      <c r="X346" s="16" t="n"/>
      <c r="Y346" s="16" t="n"/>
      <c r="Z346" s="16" t="n"/>
    </row>
    <row r="347">
      <c r="A347" s="16" t="n"/>
      <c r="B347" s="16" t="n"/>
      <c r="C347" s="16" t="n"/>
      <c r="D347" s="16" t="n"/>
      <c r="E347" s="16" t="n"/>
      <c r="F347" s="16" t="n"/>
      <c r="G347" s="16" t="n"/>
      <c r="H347" s="16" t="n"/>
      <c r="I347" s="16" t="n"/>
      <c r="J347" s="16" t="n"/>
      <c r="K347" s="16" t="n"/>
      <c r="L347" s="16" t="n"/>
      <c r="M347" s="16" t="n"/>
      <c r="N347" s="16" t="n"/>
      <c r="O347" s="16" t="n"/>
      <c r="P347" s="16" t="n"/>
      <c r="Q347" s="16" t="n"/>
      <c r="R347" s="16" t="n"/>
      <c r="S347" s="16" t="n"/>
      <c r="T347" s="16" t="n"/>
      <c r="U347" s="16" t="n"/>
      <c r="V347" s="16" t="n"/>
      <c r="W347" s="16" t="n"/>
      <c r="X347" s="16" t="n"/>
      <c r="Y347" s="16" t="n"/>
      <c r="Z347" s="16" t="n"/>
    </row>
    <row r="348">
      <c r="A348" s="16" t="n"/>
      <c r="B348" s="16" t="n"/>
      <c r="C348" s="16" t="n"/>
      <c r="D348" s="16" t="n"/>
      <c r="E348" s="16" t="n"/>
      <c r="F348" s="16" t="n"/>
      <c r="G348" s="16" t="n"/>
      <c r="H348" s="16" t="n"/>
      <c r="I348" s="16" t="n"/>
      <c r="J348" s="16" t="n"/>
      <c r="K348" s="16" t="n"/>
      <c r="L348" s="16" t="n"/>
      <c r="M348" s="16" t="n"/>
      <c r="N348" s="16" t="n"/>
      <c r="O348" s="16" t="n"/>
      <c r="P348" s="16" t="n"/>
      <c r="Q348" s="16" t="n"/>
      <c r="R348" s="16" t="n"/>
      <c r="S348" s="16" t="n"/>
      <c r="T348" s="16" t="n"/>
      <c r="U348" s="16" t="n"/>
      <c r="V348" s="16" t="n"/>
      <c r="W348" s="16" t="n"/>
      <c r="X348" s="16" t="n"/>
      <c r="Y348" s="16" t="n"/>
      <c r="Z348" s="16" t="n"/>
    </row>
    <row r="349">
      <c r="A349" s="16" t="n"/>
      <c r="B349" s="16" t="n"/>
      <c r="C349" s="16" t="n"/>
      <c r="D349" s="16" t="n"/>
      <c r="E349" s="16" t="n"/>
      <c r="F349" s="16" t="n"/>
      <c r="G349" s="16" t="n"/>
      <c r="H349" s="16" t="n"/>
      <c r="I349" s="16" t="n"/>
      <c r="J349" s="16" t="n"/>
      <c r="K349" s="16" t="n"/>
      <c r="L349" s="16" t="n"/>
      <c r="M349" s="16" t="n"/>
      <c r="N349" s="16" t="n"/>
      <c r="O349" s="16" t="n"/>
      <c r="P349" s="16" t="n"/>
      <c r="Q349" s="16" t="n"/>
      <c r="R349" s="16" t="n"/>
      <c r="S349" s="16" t="n"/>
      <c r="T349" s="16" t="n"/>
      <c r="U349" s="16" t="n"/>
      <c r="V349" s="16" t="n"/>
      <c r="W349" s="16" t="n"/>
      <c r="X349" s="16" t="n"/>
      <c r="Y349" s="16" t="n"/>
      <c r="Z349" s="16" t="n"/>
    </row>
    <row r="350">
      <c r="A350" s="16" t="n"/>
      <c r="B350" s="16" t="n"/>
      <c r="C350" s="16" t="n"/>
      <c r="D350" s="16" t="n"/>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row>
    <row r="351">
      <c r="A351" s="16" t="n"/>
      <c r="B351" s="16" t="n"/>
      <c r="C351" s="16" t="n"/>
      <c r="D351" s="16" t="n"/>
      <c r="E351" s="16" t="n"/>
      <c r="F351" s="16" t="n"/>
      <c r="G351" s="16" t="n"/>
      <c r="H351" s="16" t="n"/>
      <c r="I351" s="16" t="n"/>
      <c r="J351" s="16" t="n"/>
      <c r="K351" s="16" t="n"/>
      <c r="L351" s="16" t="n"/>
      <c r="M351" s="16" t="n"/>
      <c r="N351" s="16" t="n"/>
      <c r="O351" s="16" t="n"/>
      <c r="P351" s="16" t="n"/>
      <c r="Q351" s="16" t="n"/>
      <c r="R351" s="16" t="n"/>
      <c r="S351" s="16" t="n"/>
      <c r="T351" s="16" t="n"/>
      <c r="U351" s="16" t="n"/>
      <c r="V351" s="16" t="n"/>
      <c r="W351" s="16" t="n"/>
      <c r="X351" s="16" t="n"/>
      <c r="Y351" s="16" t="n"/>
      <c r="Z351" s="16" t="n"/>
    </row>
    <row r="352">
      <c r="A352" s="16" t="n"/>
      <c r="B352" s="16" t="n"/>
      <c r="C352" s="16" t="n"/>
      <c r="D352" s="16" t="n"/>
      <c r="E352" s="16" t="n"/>
      <c r="F352" s="16" t="n"/>
      <c r="G352" s="16" t="n"/>
      <c r="H352" s="16" t="n"/>
      <c r="I352" s="16" t="n"/>
      <c r="J352" s="16" t="n"/>
      <c r="K352" s="16" t="n"/>
      <c r="L352" s="16" t="n"/>
      <c r="M352" s="16" t="n"/>
      <c r="N352" s="16" t="n"/>
      <c r="O352" s="16" t="n"/>
      <c r="P352" s="16" t="n"/>
      <c r="Q352" s="16" t="n"/>
      <c r="R352" s="16" t="n"/>
      <c r="S352" s="16" t="n"/>
      <c r="T352" s="16" t="n"/>
      <c r="U352" s="16" t="n"/>
      <c r="V352" s="16" t="n"/>
      <c r="W352" s="16" t="n"/>
      <c r="X352" s="16" t="n"/>
      <c r="Y352" s="16" t="n"/>
      <c r="Z352" s="16" t="n"/>
    </row>
    <row r="353">
      <c r="A353" s="16" t="n"/>
      <c r="B353" s="16" t="n"/>
      <c r="C353" s="16" t="n"/>
      <c r="D353" s="16" t="n"/>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row>
    <row r="354">
      <c r="A354" s="16" t="n"/>
      <c r="B354" s="16" t="n"/>
      <c r="C354" s="16" t="n"/>
      <c r="D354" s="16" t="n"/>
      <c r="E354" s="16" t="n"/>
      <c r="F354" s="16" t="n"/>
      <c r="G354" s="16" t="n"/>
      <c r="H354" s="16" t="n"/>
      <c r="I354" s="16" t="n"/>
      <c r="J354" s="16" t="n"/>
      <c r="K354" s="16" t="n"/>
      <c r="L354" s="16" t="n"/>
      <c r="M354" s="16" t="n"/>
      <c r="N354" s="16" t="n"/>
      <c r="O354" s="16" t="n"/>
      <c r="P354" s="16" t="n"/>
      <c r="Q354" s="16" t="n"/>
      <c r="R354" s="16" t="n"/>
      <c r="S354" s="16" t="n"/>
      <c r="T354" s="16" t="n"/>
      <c r="U354" s="16" t="n"/>
      <c r="V354" s="16" t="n"/>
      <c r="W354" s="16" t="n"/>
      <c r="X354" s="16" t="n"/>
      <c r="Y354" s="16" t="n"/>
      <c r="Z354" s="16" t="n"/>
    </row>
    <row r="355">
      <c r="A355" s="16" t="n"/>
      <c r="B355" s="16" t="n"/>
      <c r="C355" s="16" t="n"/>
      <c r="D355" s="16" t="n"/>
      <c r="E355" s="16" t="n"/>
      <c r="F355" s="16" t="n"/>
      <c r="G355" s="16" t="n"/>
      <c r="H355" s="16" t="n"/>
      <c r="I355" s="16" t="n"/>
      <c r="J355" s="16" t="n"/>
      <c r="K355" s="16" t="n"/>
      <c r="L355" s="16" t="n"/>
      <c r="M355" s="16" t="n"/>
      <c r="N355" s="16" t="n"/>
      <c r="O355" s="16" t="n"/>
      <c r="P355" s="16" t="n"/>
      <c r="Q355" s="16" t="n"/>
      <c r="R355" s="16" t="n"/>
      <c r="S355" s="16" t="n"/>
      <c r="T355" s="16" t="n"/>
      <c r="U355" s="16" t="n"/>
      <c r="V355" s="16" t="n"/>
      <c r="W355" s="16" t="n"/>
      <c r="X355" s="16" t="n"/>
      <c r="Y355" s="16" t="n"/>
      <c r="Z355" s="16" t="n"/>
    </row>
    <row r="356">
      <c r="A356" s="16" t="n"/>
      <c r="B356" s="16" t="n"/>
      <c r="C356" s="16" t="n"/>
      <c r="D356" s="16" t="n"/>
      <c r="E356" s="16" t="n"/>
      <c r="F356" s="16" t="n"/>
      <c r="G356" s="16" t="n"/>
      <c r="H356" s="16" t="n"/>
      <c r="I356" s="16" t="n"/>
      <c r="J356" s="16" t="n"/>
      <c r="K356" s="16" t="n"/>
      <c r="L356" s="16" t="n"/>
      <c r="M356" s="16" t="n"/>
      <c r="N356" s="16" t="n"/>
      <c r="O356" s="16" t="n"/>
      <c r="P356" s="16" t="n"/>
      <c r="Q356" s="16" t="n"/>
      <c r="R356" s="16" t="n"/>
      <c r="S356" s="16" t="n"/>
      <c r="T356" s="16" t="n"/>
      <c r="U356" s="16" t="n"/>
      <c r="V356" s="16" t="n"/>
      <c r="W356" s="16" t="n"/>
      <c r="X356" s="16" t="n"/>
      <c r="Y356" s="16" t="n"/>
      <c r="Z356" s="16" t="n"/>
    </row>
    <row r="357">
      <c r="A357" s="16" t="n"/>
      <c r="B357" s="16" t="n"/>
      <c r="C357" s="16" t="n"/>
      <c r="D357" s="16" t="n"/>
      <c r="E357" s="16" t="n"/>
      <c r="F357" s="16" t="n"/>
      <c r="G357" s="16" t="n"/>
      <c r="H357" s="16" t="n"/>
      <c r="I357" s="16" t="n"/>
      <c r="J357" s="16" t="n"/>
      <c r="K357" s="16" t="n"/>
      <c r="L357" s="16" t="n"/>
      <c r="M357" s="16" t="n"/>
      <c r="N357" s="16" t="n"/>
      <c r="O357" s="16" t="n"/>
      <c r="P357" s="16" t="n"/>
      <c r="Q357" s="16" t="n"/>
      <c r="R357" s="16" t="n"/>
      <c r="S357" s="16" t="n"/>
      <c r="T357" s="16" t="n"/>
      <c r="U357" s="16" t="n"/>
      <c r="V357" s="16" t="n"/>
      <c r="W357" s="16" t="n"/>
      <c r="X357" s="16" t="n"/>
      <c r="Y357" s="16" t="n"/>
      <c r="Z357" s="16" t="n"/>
    </row>
    <row r="358">
      <c r="A358" s="16" t="n"/>
      <c r="B358" s="16" t="n"/>
      <c r="C358" s="16" t="n"/>
      <c r="D358" s="16" t="n"/>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row>
    <row r="359">
      <c r="A359" s="16" t="n"/>
      <c r="B359" s="16" t="n"/>
      <c r="C359" s="16" t="n"/>
      <c r="D359" s="16" t="n"/>
      <c r="E359" s="16" t="n"/>
      <c r="F359" s="16" t="n"/>
      <c r="G359" s="16" t="n"/>
      <c r="H359" s="16" t="n"/>
      <c r="I359" s="16" t="n"/>
      <c r="J359" s="16" t="n"/>
      <c r="K359" s="16" t="n"/>
      <c r="L359" s="16" t="n"/>
      <c r="M359" s="16" t="n"/>
      <c r="N359" s="16" t="n"/>
      <c r="O359" s="16" t="n"/>
      <c r="P359" s="16" t="n"/>
      <c r="Q359" s="16" t="n"/>
      <c r="R359" s="16" t="n"/>
      <c r="S359" s="16" t="n"/>
      <c r="T359" s="16" t="n"/>
      <c r="U359" s="16" t="n"/>
      <c r="V359" s="16" t="n"/>
      <c r="W359" s="16" t="n"/>
      <c r="X359" s="16" t="n"/>
      <c r="Y359" s="16" t="n"/>
      <c r="Z359" s="16" t="n"/>
    </row>
    <row r="360">
      <c r="A360" s="16" t="n"/>
      <c r="B360" s="16" t="n"/>
      <c r="C360" s="16" t="n"/>
      <c r="D360" s="16" t="n"/>
      <c r="E360" s="16" t="n"/>
      <c r="F360" s="16" t="n"/>
      <c r="G360" s="16" t="n"/>
      <c r="H360" s="16" t="n"/>
      <c r="I360" s="16" t="n"/>
      <c r="J360" s="16" t="n"/>
      <c r="K360" s="16" t="n"/>
      <c r="L360" s="16" t="n"/>
      <c r="M360" s="16" t="n"/>
      <c r="N360" s="16" t="n"/>
      <c r="O360" s="16" t="n"/>
      <c r="P360" s="16" t="n"/>
      <c r="Q360" s="16" t="n"/>
      <c r="R360" s="16" t="n"/>
      <c r="S360" s="16" t="n"/>
      <c r="T360" s="16" t="n"/>
      <c r="U360" s="16" t="n"/>
      <c r="V360" s="16" t="n"/>
      <c r="W360" s="16" t="n"/>
      <c r="X360" s="16" t="n"/>
      <c r="Y360" s="16" t="n"/>
      <c r="Z360" s="16" t="n"/>
    </row>
    <row r="361">
      <c r="A361" s="16" t="n"/>
      <c r="B361" s="16" t="n"/>
      <c r="C361" s="16" t="n"/>
      <c r="D361" s="16" t="n"/>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row>
    <row r="362">
      <c r="A362" s="16" t="n"/>
      <c r="B362" s="16" t="n"/>
      <c r="C362" s="16" t="n"/>
      <c r="D362" s="16" t="n"/>
      <c r="E362" s="16" t="n"/>
      <c r="F362" s="16" t="n"/>
      <c r="G362" s="16" t="n"/>
      <c r="H362" s="16" t="n"/>
      <c r="I362" s="16" t="n"/>
      <c r="J362" s="16" t="n"/>
      <c r="K362" s="16" t="n"/>
      <c r="L362" s="16" t="n"/>
      <c r="M362" s="16" t="n"/>
      <c r="N362" s="16" t="n"/>
      <c r="O362" s="16" t="n"/>
      <c r="P362" s="16" t="n"/>
      <c r="Q362" s="16" t="n"/>
      <c r="R362" s="16" t="n"/>
      <c r="S362" s="16" t="n"/>
      <c r="T362" s="16" t="n"/>
      <c r="U362" s="16" t="n"/>
      <c r="V362" s="16" t="n"/>
      <c r="W362" s="16" t="n"/>
      <c r="X362" s="16" t="n"/>
      <c r="Y362" s="16" t="n"/>
      <c r="Z362" s="16" t="n"/>
    </row>
    <row r="363">
      <c r="A363" s="16" t="n"/>
      <c r="B363" s="16" t="n"/>
      <c r="C363" s="16" t="n"/>
      <c r="D363" s="16" t="n"/>
      <c r="E363" s="16" t="n"/>
      <c r="F363" s="16" t="n"/>
      <c r="G363" s="16" t="n"/>
      <c r="H363" s="16" t="n"/>
      <c r="I363" s="16" t="n"/>
      <c r="J363" s="16" t="n"/>
      <c r="K363" s="16" t="n"/>
      <c r="L363" s="16" t="n"/>
      <c r="M363" s="16" t="n"/>
      <c r="N363" s="16" t="n"/>
      <c r="O363" s="16" t="n"/>
      <c r="P363" s="16" t="n"/>
      <c r="Q363" s="16" t="n"/>
      <c r="R363" s="16" t="n"/>
      <c r="S363" s="16" t="n"/>
      <c r="T363" s="16" t="n"/>
      <c r="U363" s="16" t="n"/>
      <c r="V363" s="16" t="n"/>
      <c r="W363" s="16" t="n"/>
      <c r="X363" s="16" t="n"/>
      <c r="Y363" s="16" t="n"/>
      <c r="Z363" s="16" t="n"/>
    </row>
    <row r="364">
      <c r="A364" s="16" t="n"/>
      <c r="B364" s="16" t="n"/>
      <c r="C364" s="16" t="n"/>
      <c r="D364" s="16" t="n"/>
      <c r="E364" s="16" t="n"/>
      <c r="F364" s="16" t="n"/>
      <c r="G364" s="16" t="n"/>
      <c r="H364" s="16" t="n"/>
      <c r="I364" s="16" t="n"/>
      <c r="J364" s="16" t="n"/>
      <c r="K364" s="16" t="n"/>
      <c r="L364" s="16" t="n"/>
      <c r="M364" s="16" t="n"/>
      <c r="N364" s="16" t="n"/>
      <c r="O364" s="16" t="n"/>
      <c r="P364" s="16" t="n"/>
      <c r="Q364" s="16" t="n"/>
      <c r="R364" s="16" t="n"/>
      <c r="S364" s="16" t="n"/>
      <c r="T364" s="16" t="n"/>
      <c r="U364" s="16" t="n"/>
      <c r="V364" s="16" t="n"/>
      <c r="W364" s="16" t="n"/>
      <c r="X364" s="16" t="n"/>
      <c r="Y364" s="16" t="n"/>
      <c r="Z364" s="16" t="n"/>
    </row>
    <row r="365">
      <c r="A365" s="16" t="n"/>
      <c r="B365" s="16" t="n"/>
      <c r="C365" s="16" t="n"/>
      <c r="D365" s="16" t="n"/>
      <c r="E365" s="16" t="n"/>
      <c r="F365" s="16" t="n"/>
      <c r="G365" s="16" t="n"/>
      <c r="H365" s="16" t="n"/>
      <c r="I365" s="16" t="n"/>
      <c r="J365" s="16" t="n"/>
      <c r="K365" s="16" t="n"/>
      <c r="L365" s="16" t="n"/>
      <c r="M365" s="16" t="n"/>
      <c r="N365" s="16" t="n"/>
      <c r="O365" s="16" t="n"/>
      <c r="P365" s="16" t="n"/>
      <c r="Q365" s="16" t="n"/>
      <c r="R365" s="16" t="n"/>
      <c r="S365" s="16" t="n"/>
      <c r="T365" s="16" t="n"/>
      <c r="U365" s="16" t="n"/>
      <c r="V365" s="16" t="n"/>
      <c r="W365" s="16" t="n"/>
      <c r="X365" s="16" t="n"/>
      <c r="Y365" s="16" t="n"/>
      <c r="Z365" s="16" t="n"/>
    </row>
    <row r="366">
      <c r="A366" s="16" t="n"/>
      <c r="B366" s="16" t="n"/>
      <c r="C366" s="16" t="n"/>
      <c r="D366" s="16" t="n"/>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row>
    <row r="367">
      <c r="A367" s="16" t="n"/>
      <c r="B367" s="16" t="n"/>
      <c r="C367" s="16" t="n"/>
      <c r="D367" s="16" t="n"/>
      <c r="E367" s="16" t="n"/>
      <c r="F367" s="16" t="n"/>
      <c r="G367" s="16" t="n"/>
      <c r="H367" s="16" t="n"/>
      <c r="I367" s="16" t="n"/>
      <c r="J367" s="16" t="n"/>
      <c r="K367" s="16" t="n"/>
      <c r="L367" s="16" t="n"/>
      <c r="M367" s="16" t="n"/>
      <c r="N367" s="16" t="n"/>
      <c r="O367" s="16" t="n"/>
      <c r="P367" s="16" t="n"/>
      <c r="Q367" s="16" t="n"/>
      <c r="R367" s="16" t="n"/>
      <c r="S367" s="16" t="n"/>
      <c r="T367" s="16" t="n"/>
      <c r="U367" s="16" t="n"/>
      <c r="V367" s="16" t="n"/>
      <c r="W367" s="16" t="n"/>
      <c r="X367" s="16" t="n"/>
      <c r="Y367" s="16" t="n"/>
      <c r="Z367" s="16" t="n"/>
    </row>
    <row r="368">
      <c r="A368" s="16" t="n"/>
      <c r="B368" s="16" t="n"/>
      <c r="C368" s="16" t="n"/>
      <c r="D368" s="16" t="n"/>
      <c r="E368" s="16" t="n"/>
      <c r="F368" s="16" t="n"/>
      <c r="G368" s="16" t="n"/>
      <c r="H368" s="16" t="n"/>
      <c r="I368" s="16" t="n"/>
      <c r="J368" s="16" t="n"/>
      <c r="K368" s="16" t="n"/>
      <c r="L368" s="16" t="n"/>
      <c r="M368" s="16" t="n"/>
      <c r="N368" s="16" t="n"/>
      <c r="O368" s="16" t="n"/>
      <c r="P368" s="16" t="n"/>
      <c r="Q368" s="16" t="n"/>
      <c r="R368" s="16" t="n"/>
      <c r="S368" s="16" t="n"/>
      <c r="T368" s="16" t="n"/>
      <c r="U368" s="16" t="n"/>
      <c r="V368" s="16" t="n"/>
      <c r="W368" s="16" t="n"/>
      <c r="X368" s="16" t="n"/>
      <c r="Y368" s="16" t="n"/>
      <c r="Z368" s="16" t="n"/>
    </row>
    <row r="369">
      <c r="A369" s="16" t="n"/>
      <c r="B369" s="16" t="n"/>
      <c r="C369" s="16" t="n"/>
      <c r="D369" s="16" t="n"/>
      <c r="E369" s="16" t="n"/>
      <c r="F369" s="16" t="n"/>
      <c r="G369" s="16" t="n"/>
      <c r="H369" s="16" t="n"/>
      <c r="I369" s="16" t="n"/>
      <c r="J369" s="16" t="n"/>
      <c r="K369" s="16" t="n"/>
      <c r="L369" s="16" t="n"/>
      <c r="M369" s="16" t="n"/>
      <c r="N369" s="16" t="n"/>
      <c r="O369" s="16" t="n"/>
      <c r="P369" s="16" t="n"/>
      <c r="Q369" s="16" t="n"/>
      <c r="R369" s="16" t="n"/>
      <c r="S369" s="16" t="n"/>
      <c r="T369" s="16" t="n"/>
      <c r="U369" s="16" t="n"/>
      <c r="V369" s="16" t="n"/>
      <c r="W369" s="16" t="n"/>
      <c r="X369" s="16" t="n"/>
      <c r="Y369" s="16" t="n"/>
      <c r="Z369" s="16" t="n"/>
    </row>
    <row r="370">
      <c r="A370" s="16" t="n"/>
      <c r="B370" s="16" t="n"/>
      <c r="C370" s="16" t="n"/>
      <c r="D370" s="16" t="n"/>
      <c r="E370" s="16" t="n"/>
      <c r="F370" s="16" t="n"/>
      <c r="G370" s="16" t="n"/>
      <c r="H370" s="16" t="n"/>
      <c r="I370" s="16" t="n"/>
      <c r="J370" s="16" t="n"/>
      <c r="K370" s="16" t="n"/>
      <c r="L370" s="16" t="n"/>
      <c r="M370" s="16" t="n"/>
      <c r="N370" s="16" t="n"/>
      <c r="O370" s="16" t="n"/>
      <c r="P370" s="16" t="n"/>
      <c r="Q370" s="16" t="n"/>
      <c r="R370" s="16" t="n"/>
      <c r="S370" s="16" t="n"/>
      <c r="T370" s="16" t="n"/>
      <c r="U370" s="16" t="n"/>
      <c r="V370" s="16" t="n"/>
      <c r="W370" s="16" t="n"/>
      <c r="X370" s="16" t="n"/>
      <c r="Y370" s="16" t="n"/>
      <c r="Z370" s="16" t="n"/>
    </row>
    <row r="371">
      <c r="A371" s="16" t="n"/>
      <c r="B371" s="16" t="n"/>
      <c r="C371" s="16" t="n"/>
      <c r="D371" s="16" t="n"/>
      <c r="E371" s="16" t="n"/>
      <c r="F371" s="16" t="n"/>
      <c r="G371" s="16" t="n"/>
      <c r="H371" s="16" t="n"/>
      <c r="I371" s="16" t="n"/>
      <c r="J371" s="16" t="n"/>
      <c r="K371" s="16" t="n"/>
      <c r="L371" s="16" t="n"/>
      <c r="M371" s="16" t="n"/>
      <c r="N371" s="16" t="n"/>
      <c r="O371" s="16" t="n"/>
      <c r="P371" s="16" t="n"/>
      <c r="Q371" s="16" t="n"/>
      <c r="R371" s="16" t="n"/>
      <c r="S371" s="16" t="n"/>
      <c r="T371" s="16" t="n"/>
      <c r="U371" s="16" t="n"/>
      <c r="V371" s="16" t="n"/>
      <c r="W371" s="16" t="n"/>
      <c r="X371" s="16" t="n"/>
      <c r="Y371" s="16" t="n"/>
      <c r="Z371" s="16" t="n"/>
    </row>
    <row r="372">
      <c r="A372" s="16" t="n"/>
      <c r="B372" s="16" t="n"/>
      <c r="C372" s="16" t="n"/>
      <c r="D372" s="16" t="n"/>
      <c r="E372" s="16" t="n"/>
      <c r="F372" s="16" t="n"/>
      <c r="G372" s="16" t="n"/>
      <c r="H372" s="16" t="n"/>
      <c r="I372" s="16" t="n"/>
      <c r="J372" s="16" t="n"/>
      <c r="K372" s="16" t="n"/>
      <c r="L372" s="16" t="n"/>
      <c r="M372" s="16" t="n"/>
      <c r="N372" s="16" t="n"/>
      <c r="O372" s="16" t="n"/>
      <c r="P372" s="16" t="n"/>
      <c r="Q372" s="16" t="n"/>
      <c r="R372" s="16" t="n"/>
      <c r="S372" s="16" t="n"/>
      <c r="T372" s="16" t="n"/>
      <c r="U372" s="16" t="n"/>
      <c r="V372" s="16" t="n"/>
      <c r="W372" s="16" t="n"/>
      <c r="X372" s="16" t="n"/>
      <c r="Y372" s="16" t="n"/>
      <c r="Z372" s="16" t="n"/>
    </row>
    <row r="373">
      <c r="A373" s="16" t="n"/>
      <c r="B373" s="16" t="n"/>
      <c r="C373" s="16" t="n"/>
      <c r="D373" s="16" t="n"/>
      <c r="E373" s="16" t="n"/>
      <c r="F373" s="16" t="n"/>
      <c r="G373" s="16" t="n"/>
      <c r="H373" s="16" t="n"/>
      <c r="I373" s="16" t="n"/>
      <c r="J373" s="16" t="n"/>
      <c r="K373" s="16" t="n"/>
      <c r="L373" s="16" t="n"/>
      <c r="M373" s="16" t="n"/>
      <c r="N373" s="16" t="n"/>
      <c r="O373" s="16" t="n"/>
      <c r="P373" s="16" t="n"/>
      <c r="Q373" s="16" t="n"/>
      <c r="R373" s="16" t="n"/>
      <c r="S373" s="16" t="n"/>
      <c r="T373" s="16" t="n"/>
      <c r="U373" s="16" t="n"/>
      <c r="V373" s="16" t="n"/>
      <c r="W373" s="16" t="n"/>
      <c r="X373" s="16" t="n"/>
      <c r="Y373" s="16" t="n"/>
      <c r="Z373" s="16" t="n"/>
    </row>
    <row r="374">
      <c r="A374" s="16" t="n"/>
      <c r="B374" s="16" t="n"/>
      <c r="C374" s="16" t="n"/>
      <c r="D374" s="16" t="n"/>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row>
    <row r="375">
      <c r="A375" s="16" t="n"/>
      <c r="B375" s="16" t="n"/>
      <c r="C375" s="16" t="n"/>
      <c r="D375" s="16" t="n"/>
      <c r="E375" s="16" t="n"/>
      <c r="F375" s="16" t="n"/>
      <c r="G375" s="16" t="n"/>
      <c r="H375" s="16" t="n"/>
      <c r="I375" s="16" t="n"/>
      <c r="J375" s="16" t="n"/>
      <c r="K375" s="16" t="n"/>
      <c r="L375" s="16" t="n"/>
      <c r="M375" s="16" t="n"/>
      <c r="N375" s="16" t="n"/>
      <c r="O375" s="16" t="n"/>
      <c r="P375" s="16" t="n"/>
      <c r="Q375" s="16" t="n"/>
      <c r="R375" s="16" t="n"/>
      <c r="S375" s="16" t="n"/>
      <c r="T375" s="16" t="n"/>
      <c r="U375" s="16" t="n"/>
      <c r="V375" s="16" t="n"/>
      <c r="W375" s="16" t="n"/>
      <c r="X375" s="16" t="n"/>
      <c r="Y375" s="16" t="n"/>
      <c r="Z375" s="16" t="n"/>
    </row>
    <row r="376">
      <c r="A376" s="16" t="n"/>
      <c r="B376" s="16" t="n"/>
      <c r="C376" s="16" t="n"/>
      <c r="D376" s="16" t="n"/>
      <c r="E376" s="16" t="n"/>
      <c r="F376" s="16" t="n"/>
      <c r="G376" s="16" t="n"/>
      <c r="H376" s="16" t="n"/>
      <c r="I376" s="16" t="n"/>
      <c r="J376" s="16" t="n"/>
      <c r="K376" s="16" t="n"/>
      <c r="L376" s="16" t="n"/>
      <c r="M376" s="16" t="n"/>
      <c r="N376" s="16" t="n"/>
      <c r="O376" s="16" t="n"/>
      <c r="P376" s="16" t="n"/>
      <c r="Q376" s="16" t="n"/>
      <c r="R376" s="16" t="n"/>
      <c r="S376" s="16" t="n"/>
      <c r="T376" s="16" t="n"/>
      <c r="U376" s="16" t="n"/>
      <c r="V376" s="16" t="n"/>
      <c r="W376" s="16" t="n"/>
      <c r="X376" s="16" t="n"/>
      <c r="Y376" s="16" t="n"/>
      <c r="Z376" s="16" t="n"/>
    </row>
    <row r="377">
      <c r="A377" s="16" t="n"/>
      <c r="B377" s="16" t="n"/>
      <c r="C377" s="16" t="n"/>
      <c r="D377" s="16" t="n"/>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row>
    <row r="378">
      <c r="A378" s="16" t="n"/>
      <c r="B378" s="16" t="n"/>
      <c r="C378" s="16" t="n"/>
      <c r="D378" s="16" t="n"/>
      <c r="E378" s="16" t="n"/>
      <c r="F378" s="16" t="n"/>
      <c r="G378" s="16" t="n"/>
      <c r="H378" s="16" t="n"/>
      <c r="I378" s="16" t="n"/>
      <c r="J378" s="16" t="n"/>
      <c r="K378" s="16" t="n"/>
      <c r="L378" s="16" t="n"/>
      <c r="M378" s="16" t="n"/>
      <c r="N378" s="16" t="n"/>
      <c r="O378" s="16" t="n"/>
      <c r="P378" s="16" t="n"/>
      <c r="Q378" s="16" t="n"/>
      <c r="R378" s="16" t="n"/>
      <c r="S378" s="16" t="n"/>
      <c r="T378" s="16" t="n"/>
      <c r="U378" s="16" t="n"/>
      <c r="V378" s="16" t="n"/>
      <c r="W378" s="16" t="n"/>
      <c r="X378" s="16" t="n"/>
      <c r="Y378" s="16" t="n"/>
      <c r="Z378" s="16" t="n"/>
    </row>
    <row r="379">
      <c r="A379" s="16" t="n"/>
      <c r="B379" s="16" t="n"/>
      <c r="C379" s="16" t="n"/>
      <c r="D379" s="16" t="n"/>
      <c r="E379" s="16" t="n"/>
      <c r="F379" s="16" t="n"/>
      <c r="G379" s="16" t="n"/>
      <c r="H379" s="16" t="n"/>
      <c r="I379" s="16" t="n"/>
      <c r="J379" s="16" t="n"/>
      <c r="K379" s="16" t="n"/>
      <c r="L379" s="16" t="n"/>
      <c r="M379" s="16" t="n"/>
      <c r="N379" s="16" t="n"/>
      <c r="O379" s="16" t="n"/>
      <c r="P379" s="16" t="n"/>
      <c r="Q379" s="16" t="n"/>
      <c r="R379" s="16" t="n"/>
      <c r="S379" s="16" t="n"/>
      <c r="T379" s="16" t="n"/>
      <c r="U379" s="16" t="n"/>
      <c r="V379" s="16" t="n"/>
      <c r="W379" s="16" t="n"/>
      <c r="X379" s="16" t="n"/>
      <c r="Y379" s="16" t="n"/>
      <c r="Z379" s="16" t="n"/>
    </row>
    <row r="380">
      <c r="A380" s="16" t="n"/>
      <c r="B380" s="16" t="n"/>
      <c r="C380" s="16" t="n"/>
      <c r="D380" s="16" t="n"/>
      <c r="E380" s="16" t="n"/>
      <c r="F380" s="16" t="n"/>
      <c r="G380" s="16" t="n"/>
      <c r="H380" s="16" t="n"/>
      <c r="I380" s="16" t="n"/>
      <c r="J380" s="16" t="n"/>
      <c r="K380" s="16" t="n"/>
      <c r="L380" s="16" t="n"/>
      <c r="M380" s="16" t="n"/>
      <c r="N380" s="16" t="n"/>
      <c r="O380" s="16" t="n"/>
      <c r="P380" s="16" t="n"/>
      <c r="Q380" s="16" t="n"/>
      <c r="R380" s="16" t="n"/>
      <c r="S380" s="16" t="n"/>
      <c r="T380" s="16" t="n"/>
      <c r="U380" s="16" t="n"/>
      <c r="V380" s="16" t="n"/>
      <c r="W380" s="16" t="n"/>
      <c r="X380" s="16" t="n"/>
      <c r="Y380" s="16" t="n"/>
      <c r="Z380" s="16" t="n"/>
    </row>
    <row r="381">
      <c r="A381" s="16" t="n"/>
      <c r="B381" s="16" t="n"/>
      <c r="C381" s="16" t="n"/>
      <c r="D381" s="16" t="n"/>
      <c r="E381" s="16" t="n"/>
      <c r="F381" s="16" t="n"/>
      <c r="G381" s="16" t="n"/>
      <c r="H381" s="16" t="n"/>
      <c r="I381" s="16" t="n"/>
      <c r="J381" s="16" t="n"/>
      <c r="K381" s="16" t="n"/>
      <c r="L381" s="16" t="n"/>
      <c r="M381" s="16" t="n"/>
      <c r="N381" s="16" t="n"/>
      <c r="O381" s="16" t="n"/>
      <c r="P381" s="16" t="n"/>
      <c r="Q381" s="16" t="n"/>
      <c r="R381" s="16" t="n"/>
      <c r="S381" s="16" t="n"/>
      <c r="T381" s="16" t="n"/>
      <c r="U381" s="16" t="n"/>
      <c r="V381" s="16" t="n"/>
      <c r="W381" s="16" t="n"/>
      <c r="X381" s="16" t="n"/>
      <c r="Y381" s="16" t="n"/>
      <c r="Z381" s="16" t="n"/>
    </row>
    <row r="382">
      <c r="A382" s="16" t="n"/>
      <c r="B382" s="16" t="n"/>
      <c r="C382" s="16" t="n"/>
      <c r="D382" s="16" t="n"/>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row>
    <row r="383">
      <c r="A383" s="16" t="n"/>
      <c r="B383" s="16" t="n"/>
      <c r="C383" s="16" t="n"/>
      <c r="D383" s="16" t="n"/>
      <c r="E383" s="16" t="n"/>
      <c r="F383" s="16" t="n"/>
      <c r="G383" s="16" t="n"/>
      <c r="H383" s="16" t="n"/>
      <c r="I383" s="16" t="n"/>
      <c r="J383" s="16" t="n"/>
      <c r="K383" s="16" t="n"/>
      <c r="L383" s="16" t="n"/>
      <c r="M383" s="16" t="n"/>
      <c r="N383" s="16" t="n"/>
      <c r="O383" s="16" t="n"/>
      <c r="P383" s="16" t="n"/>
      <c r="Q383" s="16" t="n"/>
      <c r="R383" s="16" t="n"/>
      <c r="S383" s="16" t="n"/>
      <c r="T383" s="16" t="n"/>
      <c r="U383" s="16" t="n"/>
      <c r="V383" s="16" t="n"/>
      <c r="W383" s="16" t="n"/>
      <c r="X383" s="16" t="n"/>
      <c r="Y383" s="16" t="n"/>
      <c r="Z383" s="16" t="n"/>
    </row>
    <row r="384">
      <c r="A384" s="16" t="n"/>
      <c r="B384" s="16" t="n"/>
      <c r="C384" s="16" t="n"/>
      <c r="D384" s="16" t="n"/>
      <c r="E384" s="16" t="n"/>
      <c r="F384" s="16" t="n"/>
      <c r="G384" s="16" t="n"/>
      <c r="H384" s="16" t="n"/>
      <c r="I384" s="16" t="n"/>
      <c r="J384" s="16" t="n"/>
      <c r="K384" s="16" t="n"/>
      <c r="L384" s="16" t="n"/>
      <c r="M384" s="16" t="n"/>
      <c r="N384" s="16" t="n"/>
      <c r="O384" s="16" t="n"/>
      <c r="P384" s="16" t="n"/>
      <c r="Q384" s="16" t="n"/>
      <c r="R384" s="16" t="n"/>
      <c r="S384" s="16" t="n"/>
      <c r="T384" s="16" t="n"/>
      <c r="U384" s="16" t="n"/>
      <c r="V384" s="16" t="n"/>
      <c r="W384" s="16" t="n"/>
      <c r="X384" s="16" t="n"/>
      <c r="Y384" s="16" t="n"/>
      <c r="Z384" s="16" t="n"/>
    </row>
    <row r="385">
      <c r="A385" s="16" t="n"/>
      <c r="B385" s="16" t="n"/>
      <c r="C385" s="16" t="n"/>
      <c r="D385" s="16" t="n"/>
      <c r="E385" s="16" t="n"/>
      <c r="F385" s="16" t="n"/>
      <c r="G385" s="16" t="n"/>
      <c r="H385" s="16" t="n"/>
      <c r="I385" s="16" t="n"/>
      <c r="J385" s="16" t="n"/>
      <c r="K385" s="16" t="n"/>
      <c r="L385" s="16" t="n"/>
      <c r="M385" s="16" t="n"/>
      <c r="N385" s="16" t="n"/>
      <c r="O385" s="16" t="n"/>
      <c r="P385" s="16" t="n"/>
      <c r="Q385" s="16" t="n"/>
      <c r="R385" s="16" t="n"/>
      <c r="S385" s="16" t="n"/>
      <c r="T385" s="16" t="n"/>
      <c r="U385" s="16" t="n"/>
      <c r="V385" s="16" t="n"/>
      <c r="W385" s="16" t="n"/>
      <c r="X385" s="16" t="n"/>
      <c r="Y385" s="16" t="n"/>
      <c r="Z385" s="16" t="n"/>
    </row>
    <row r="386">
      <c r="A386" s="16" t="n"/>
      <c r="B386" s="16" t="n"/>
      <c r="C386" s="16" t="n"/>
      <c r="D386" s="16" t="n"/>
      <c r="E386" s="16" t="n"/>
      <c r="F386" s="16" t="n"/>
      <c r="G386" s="16" t="n"/>
      <c r="H386" s="16" t="n"/>
      <c r="I386" s="16" t="n"/>
      <c r="J386" s="16" t="n"/>
      <c r="K386" s="16" t="n"/>
      <c r="L386" s="16" t="n"/>
      <c r="M386" s="16" t="n"/>
      <c r="N386" s="16" t="n"/>
      <c r="O386" s="16" t="n"/>
      <c r="P386" s="16" t="n"/>
      <c r="Q386" s="16" t="n"/>
      <c r="R386" s="16" t="n"/>
      <c r="S386" s="16" t="n"/>
      <c r="T386" s="16" t="n"/>
      <c r="U386" s="16" t="n"/>
      <c r="V386" s="16" t="n"/>
      <c r="W386" s="16" t="n"/>
      <c r="X386" s="16" t="n"/>
      <c r="Y386" s="16" t="n"/>
      <c r="Z386" s="16" t="n"/>
    </row>
    <row r="387">
      <c r="A387" s="16" t="n"/>
      <c r="B387" s="16" t="n"/>
      <c r="C387" s="16" t="n"/>
      <c r="D387" s="16" t="n"/>
      <c r="E387" s="16" t="n"/>
      <c r="F387" s="16" t="n"/>
      <c r="G387" s="16" t="n"/>
      <c r="H387" s="16" t="n"/>
      <c r="I387" s="16" t="n"/>
      <c r="J387" s="16" t="n"/>
      <c r="K387" s="16" t="n"/>
      <c r="L387" s="16" t="n"/>
      <c r="M387" s="16" t="n"/>
      <c r="N387" s="16" t="n"/>
      <c r="O387" s="16" t="n"/>
      <c r="P387" s="16" t="n"/>
      <c r="Q387" s="16" t="n"/>
      <c r="R387" s="16" t="n"/>
      <c r="S387" s="16" t="n"/>
      <c r="T387" s="16" t="n"/>
      <c r="U387" s="16" t="n"/>
      <c r="V387" s="16" t="n"/>
      <c r="W387" s="16" t="n"/>
      <c r="X387" s="16" t="n"/>
      <c r="Y387" s="16" t="n"/>
      <c r="Z387" s="16" t="n"/>
    </row>
    <row r="388">
      <c r="A388" s="16" t="n"/>
      <c r="B388" s="16" t="n"/>
      <c r="C388" s="16" t="n"/>
      <c r="D388" s="16" t="n"/>
      <c r="E388" s="16" t="n"/>
      <c r="F388" s="16" t="n"/>
      <c r="G388" s="16" t="n"/>
      <c r="H388" s="16" t="n"/>
      <c r="I388" s="16" t="n"/>
      <c r="J388" s="16" t="n"/>
      <c r="K388" s="16" t="n"/>
      <c r="L388" s="16" t="n"/>
      <c r="M388" s="16" t="n"/>
      <c r="N388" s="16" t="n"/>
      <c r="O388" s="16" t="n"/>
      <c r="P388" s="16" t="n"/>
      <c r="Q388" s="16" t="n"/>
      <c r="R388" s="16" t="n"/>
      <c r="S388" s="16" t="n"/>
      <c r="T388" s="16" t="n"/>
      <c r="U388" s="16" t="n"/>
      <c r="V388" s="16" t="n"/>
      <c r="W388" s="16" t="n"/>
      <c r="X388" s="16" t="n"/>
      <c r="Y388" s="16" t="n"/>
      <c r="Z388" s="16" t="n"/>
    </row>
    <row r="389">
      <c r="A389" s="16" t="n"/>
      <c r="B389" s="16" t="n"/>
      <c r="C389" s="16" t="n"/>
      <c r="D389" s="16" t="n"/>
      <c r="E389" s="16" t="n"/>
      <c r="F389" s="16" t="n"/>
      <c r="G389" s="16" t="n"/>
      <c r="H389" s="16" t="n"/>
      <c r="I389" s="16" t="n"/>
      <c r="J389" s="16" t="n"/>
      <c r="K389" s="16" t="n"/>
      <c r="L389" s="16" t="n"/>
      <c r="M389" s="16" t="n"/>
      <c r="N389" s="16" t="n"/>
      <c r="O389" s="16" t="n"/>
      <c r="P389" s="16" t="n"/>
      <c r="Q389" s="16" t="n"/>
      <c r="R389" s="16" t="n"/>
      <c r="S389" s="16" t="n"/>
      <c r="T389" s="16" t="n"/>
      <c r="U389" s="16" t="n"/>
      <c r="V389" s="16" t="n"/>
      <c r="W389" s="16" t="n"/>
      <c r="X389" s="16" t="n"/>
      <c r="Y389" s="16" t="n"/>
      <c r="Z389" s="16" t="n"/>
    </row>
    <row r="390">
      <c r="A390" s="16" t="n"/>
      <c r="B390" s="16" t="n"/>
      <c r="C390" s="16" t="n"/>
      <c r="D390" s="16" t="n"/>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row>
    <row r="391">
      <c r="A391" s="16" t="n"/>
      <c r="B391" s="16" t="n"/>
      <c r="C391" s="16" t="n"/>
      <c r="D391" s="16" t="n"/>
      <c r="E391" s="16" t="n"/>
      <c r="F391" s="16" t="n"/>
      <c r="G391" s="16" t="n"/>
      <c r="H391" s="16" t="n"/>
      <c r="I391" s="16" t="n"/>
      <c r="J391" s="16" t="n"/>
      <c r="K391" s="16" t="n"/>
      <c r="L391" s="16" t="n"/>
      <c r="M391" s="16" t="n"/>
      <c r="N391" s="16" t="n"/>
      <c r="O391" s="16" t="n"/>
      <c r="P391" s="16" t="n"/>
      <c r="Q391" s="16" t="n"/>
      <c r="R391" s="16" t="n"/>
      <c r="S391" s="16" t="n"/>
      <c r="T391" s="16" t="n"/>
      <c r="U391" s="16" t="n"/>
      <c r="V391" s="16" t="n"/>
      <c r="W391" s="16" t="n"/>
      <c r="X391" s="16" t="n"/>
      <c r="Y391" s="16" t="n"/>
      <c r="Z391" s="16" t="n"/>
    </row>
    <row r="392">
      <c r="A392" s="16" t="n"/>
      <c r="B392" s="16" t="n"/>
      <c r="C392" s="16" t="n"/>
      <c r="D392" s="16" t="n"/>
      <c r="E392" s="16" t="n"/>
      <c r="F392" s="16" t="n"/>
      <c r="G392" s="16" t="n"/>
      <c r="H392" s="16" t="n"/>
      <c r="I392" s="16" t="n"/>
      <c r="J392" s="16" t="n"/>
      <c r="K392" s="16" t="n"/>
      <c r="L392" s="16" t="n"/>
      <c r="M392" s="16" t="n"/>
      <c r="N392" s="16" t="n"/>
      <c r="O392" s="16" t="n"/>
      <c r="P392" s="16" t="n"/>
      <c r="Q392" s="16" t="n"/>
      <c r="R392" s="16" t="n"/>
      <c r="S392" s="16" t="n"/>
      <c r="T392" s="16" t="n"/>
      <c r="U392" s="16" t="n"/>
      <c r="V392" s="16" t="n"/>
      <c r="W392" s="16" t="n"/>
      <c r="X392" s="16" t="n"/>
      <c r="Y392" s="16" t="n"/>
      <c r="Z392" s="16" t="n"/>
    </row>
    <row r="393">
      <c r="A393" s="16" t="n"/>
      <c r="B393" s="16" t="n"/>
      <c r="C393" s="16" t="n"/>
      <c r="D393" s="16" t="n"/>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row>
    <row r="394">
      <c r="A394" s="16" t="n"/>
      <c r="B394" s="16" t="n"/>
      <c r="C394" s="16" t="n"/>
      <c r="D394" s="16" t="n"/>
      <c r="E394" s="16" t="n"/>
      <c r="F394" s="16" t="n"/>
      <c r="G394" s="16" t="n"/>
      <c r="H394" s="16" t="n"/>
      <c r="I394" s="16" t="n"/>
      <c r="J394" s="16" t="n"/>
      <c r="K394" s="16" t="n"/>
      <c r="L394" s="16" t="n"/>
      <c r="M394" s="16" t="n"/>
      <c r="N394" s="16" t="n"/>
      <c r="O394" s="16" t="n"/>
      <c r="P394" s="16" t="n"/>
      <c r="Q394" s="16" t="n"/>
      <c r="R394" s="16" t="n"/>
      <c r="S394" s="16" t="n"/>
      <c r="T394" s="16" t="n"/>
      <c r="U394" s="16" t="n"/>
      <c r="V394" s="16" t="n"/>
      <c r="W394" s="16" t="n"/>
      <c r="X394" s="16" t="n"/>
      <c r="Y394" s="16" t="n"/>
      <c r="Z394" s="16" t="n"/>
    </row>
    <row r="395">
      <c r="A395" s="16" t="n"/>
      <c r="B395" s="16" t="n"/>
      <c r="C395" s="16" t="n"/>
      <c r="D395" s="16" t="n"/>
      <c r="E395" s="16" t="n"/>
      <c r="F395" s="16" t="n"/>
      <c r="G395" s="16" t="n"/>
      <c r="H395" s="16" t="n"/>
      <c r="I395" s="16" t="n"/>
      <c r="J395" s="16" t="n"/>
      <c r="K395" s="16" t="n"/>
      <c r="L395" s="16" t="n"/>
      <c r="M395" s="16" t="n"/>
      <c r="N395" s="16" t="n"/>
      <c r="O395" s="16" t="n"/>
      <c r="P395" s="16" t="n"/>
      <c r="Q395" s="16" t="n"/>
      <c r="R395" s="16" t="n"/>
      <c r="S395" s="16" t="n"/>
      <c r="T395" s="16" t="n"/>
      <c r="U395" s="16" t="n"/>
      <c r="V395" s="16" t="n"/>
      <c r="W395" s="16" t="n"/>
      <c r="X395" s="16" t="n"/>
      <c r="Y395" s="16" t="n"/>
      <c r="Z395" s="16" t="n"/>
    </row>
    <row r="396">
      <c r="A396" s="16" t="n"/>
      <c r="B396" s="16" t="n"/>
      <c r="C396" s="16" t="n"/>
      <c r="D396" s="16" t="n"/>
      <c r="E396" s="16" t="n"/>
      <c r="F396" s="16" t="n"/>
      <c r="G396" s="16" t="n"/>
      <c r="H396" s="16" t="n"/>
      <c r="I396" s="16" t="n"/>
      <c r="J396" s="16" t="n"/>
      <c r="K396" s="16" t="n"/>
      <c r="L396" s="16" t="n"/>
      <c r="M396" s="16" t="n"/>
      <c r="N396" s="16" t="n"/>
      <c r="O396" s="16" t="n"/>
      <c r="P396" s="16" t="n"/>
      <c r="Q396" s="16" t="n"/>
      <c r="R396" s="16" t="n"/>
      <c r="S396" s="16" t="n"/>
      <c r="T396" s="16" t="n"/>
      <c r="U396" s="16" t="n"/>
      <c r="V396" s="16" t="n"/>
      <c r="W396" s="16" t="n"/>
      <c r="X396" s="16" t="n"/>
      <c r="Y396" s="16" t="n"/>
      <c r="Z396" s="16" t="n"/>
    </row>
    <row r="397">
      <c r="A397" s="16" t="n"/>
      <c r="B397" s="16" t="n"/>
      <c r="C397" s="16" t="n"/>
      <c r="D397" s="16" t="n"/>
      <c r="E397" s="16" t="n"/>
      <c r="F397" s="16" t="n"/>
      <c r="G397" s="16" t="n"/>
      <c r="H397" s="16" t="n"/>
      <c r="I397" s="16" t="n"/>
      <c r="J397" s="16" t="n"/>
      <c r="K397" s="16" t="n"/>
      <c r="L397" s="16" t="n"/>
      <c r="M397" s="16" t="n"/>
      <c r="N397" s="16" t="n"/>
      <c r="O397" s="16" t="n"/>
      <c r="P397" s="16" t="n"/>
      <c r="Q397" s="16" t="n"/>
      <c r="R397" s="16" t="n"/>
      <c r="S397" s="16" t="n"/>
      <c r="T397" s="16" t="n"/>
      <c r="U397" s="16" t="n"/>
      <c r="V397" s="16" t="n"/>
      <c r="W397" s="16" t="n"/>
      <c r="X397" s="16" t="n"/>
      <c r="Y397" s="16" t="n"/>
      <c r="Z397" s="16" t="n"/>
    </row>
    <row r="398">
      <c r="A398" s="16" t="n"/>
      <c r="B398" s="16" t="n"/>
      <c r="C398" s="16" t="n"/>
      <c r="D398" s="16" t="n"/>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row>
    <row r="399">
      <c r="A399" s="16" t="n"/>
      <c r="B399" s="16" t="n"/>
      <c r="C399" s="16" t="n"/>
      <c r="D399" s="16" t="n"/>
      <c r="E399" s="16" t="n"/>
      <c r="F399" s="16" t="n"/>
      <c r="G399" s="16" t="n"/>
      <c r="H399" s="16" t="n"/>
      <c r="I399" s="16" t="n"/>
      <c r="J399" s="16" t="n"/>
      <c r="K399" s="16" t="n"/>
      <c r="L399" s="16" t="n"/>
      <c r="M399" s="16" t="n"/>
      <c r="N399" s="16" t="n"/>
      <c r="O399" s="16" t="n"/>
      <c r="P399" s="16" t="n"/>
      <c r="Q399" s="16" t="n"/>
      <c r="R399" s="16" t="n"/>
      <c r="S399" s="16" t="n"/>
      <c r="T399" s="16" t="n"/>
      <c r="U399" s="16" t="n"/>
      <c r="V399" s="16" t="n"/>
      <c r="W399" s="16" t="n"/>
      <c r="X399" s="16" t="n"/>
      <c r="Y399" s="16" t="n"/>
      <c r="Z399" s="16" t="n"/>
    </row>
    <row r="400">
      <c r="A400" s="16" t="n"/>
      <c r="B400" s="16" t="n"/>
      <c r="C400" s="16" t="n"/>
      <c r="D400" s="16" t="n"/>
      <c r="E400" s="16" t="n"/>
      <c r="F400" s="16" t="n"/>
      <c r="G400" s="16" t="n"/>
      <c r="H400" s="16" t="n"/>
      <c r="I400" s="16" t="n"/>
      <c r="J400" s="16" t="n"/>
      <c r="K400" s="16" t="n"/>
      <c r="L400" s="16" t="n"/>
      <c r="M400" s="16" t="n"/>
      <c r="N400" s="16" t="n"/>
      <c r="O400" s="16" t="n"/>
      <c r="P400" s="16" t="n"/>
      <c r="Q400" s="16" t="n"/>
      <c r="R400" s="16" t="n"/>
      <c r="S400" s="16" t="n"/>
      <c r="T400" s="16" t="n"/>
      <c r="U400" s="16" t="n"/>
      <c r="V400" s="16" t="n"/>
      <c r="W400" s="16" t="n"/>
      <c r="X400" s="16" t="n"/>
      <c r="Y400" s="16" t="n"/>
      <c r="Z400" s="16" t="n"/>
    </row>
  </sheetData>
  <autoFilter ref="A2:Z2"/>
  <mergeCells count="1">
    <mergeCell ref="A1:Z1"/>
  </mergeCells>
  <conditionalFormatting sqref="O3:O400">
    <cfRule type="cellIs" priority="1" operator="equal" dxfId="1">
      <formula>"Critical"</formula>
    </cfRule>
    <cfRule type="cellIs" priority="2" operator="equal" dxfId="2">
      <formula>"Major"</formula>
    </cfRule>
    <cfRule type="cellIs" priority="3" operator="equal" dxfId="3">
      <formula>"Minor"</formula>
    </cfRule>
    <cfRule type="cellIs" priority="4" operator="equal" dxfId="3">
      <formula>"Trivial"</formula>
    </cfRule>
  </conditionalFormatting>
  <conditionalFormatting sqref="U3:U400">
    <cfRule type="cellIs" priority="5" operator="equal" dxfId="0">
      <formula>"CLOSED"</formula>
    </cfRule>
    <cfRule type="cellIs" priority="6" operator="equal" dxfId="0">
      <formula>"FIXED"</formula>
    </cfRule>
    <cfRule type="cellIs" priority="7" operator="equal" dxfId="1">
      <formula>"NEW"</formula>
    </cfRule>
    <cfRule type="cellIs" priority="8" operator="equal" dxfId="1">
      <formula>"OPEN"</formula>
    </cfRule>
    <cfRule type="cellIs" priority="9" operator="equal" dxfId="1">
      <formula>"REOPENED"</formula>
    </cfRule>
    <cfRule type="cellIs" priority="10" operator="equal" dxfId="2">
      <formula>"IN PROGRESS"</formula>
    </cfRule>
    <cfRule type="cellIs" priority="11" operator="equal" dxfId="2">
      <formula>"READY TO RETEST"</formula>
    </cfRule>
  </conditionalFormatting>
  <dataValidations count="7">
    <dataValidation sqref="O3:O400" showDropDown="0" showInputMessage="0" showErrorMessage="0" allowBlank="1" type="list">
      <formula1>=Lists!$B$2:$B$5</formula1>
    </dataValidation>
    <dataValidation sqref="P3:P400" showDropDown="0" showInputMessage="0" showErrorMessage="0" allowBlank="1" type="list">
      <formula1>=Lists!$C$2:$C$5</formula1>
    </dataValidation>
    <dataValidation sqref="Q3:Q400" showDropDown="0" showInputMessage="0" showErrorMessage="0" allowBlank="1" type="list">
      <formula1>=Lists!$J$2:$J$5</formula1>
    </dataValidation>
    <dataValidation sqref="R3:R400" showDropDown="0" showInputMessage="0" showErrorMessage="0" allowBlank="1" type="list">
      <formula1>=Lists!$G$2:$G$6</formula1>
    </dataValidation>
    <dataValidation sqref="S3:S400" showDropDown="0" showInputMessage="0" showErrorMessage="0" allowBlank="1" type="list">
      <formula1>=Lists!$H$2:$H$9</formula1>
    </dataValidation>
    <dataValidation sqref="U3:U400" showDropDown="0" showInputMessage="0" showErrorMessage="0" allowBlank="1" type="list">
      <formula1>=Lists!$I$2:$I$11</formula1>
    </dataValidation>
    <dataValidation sqref="J3:J400" showDropDown="0" showInputMessage="0" showErrorMessage="0" allowBlank="1" type="list">
      <formula1>=Lists!$F$2:$F$9</formula1>
    </dataValidation>
  </dataValidations>
  <pageMargins left="0.75" right="0.75" top="1" bottom="1" header="0.5" footer="0.5"/>
</worksheet>
</file>

<file path=xl/worksheets/sheet5.xml><?xml version="1.0" encoding="utf-8"?>
<worksheet xmlns="http://schemas.openxmlformats.org/spreadsheetml/2006/main">
  <sheetPr>
    <tabColor rgb="004361D0"/>
    <outlinePr summaryBelow="1" summaryRight="1"/>
    <pageSetUpPr/>
  </sheetPr>
  <dimension ref="A1:T151"/>
  <sheetViews>
    <sheetView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2" customWidth="1" min="2" max="2"/>
    <col width="11" customWidth="1" min="3" max="3"/>
    <col width="10" customWidth="1" min="4" max="4"/>
    <col width="15" customWidth="1" min="5" max="5"/>
    <col width="22" customWidth="1" min="6" max="6"/>
    <col width="34" customWidth="1" min="7" max="7"/>
    <col width="52" customWidth="1" min="8" max="8"/>
    <col width="40" customWidth="1" min="9" max="9"/>
    <col width="20" customWidth="1" min="10" max="10"/>
    <col width="26" customWidth="1" min="11" max="11"/>
    <col width="16" customWidth="1" min="12" max="12"/>
    <col width="15" customWidth="1" min="13" max="13"/>
    <col width="9" customWidth="1" min="14" max="14"/>
    <col width="14" customWidth="1" min="15" max="15"/>
    <col width="14" customWidth="1" min="16" max="16"/>
    <col width="12" customWidth="1" min="17" max="17"/>
    <col width="56" customWidth="1" min="18" max="18"/>
    <col width="12" customWidth="1" min="19" max="19"/>
    <col width="26" customWidth="1" min="20" max="20"/>
  </cols>
  <sheetData>
    <row r="1" ht="26" customHeight="1">
      <c r="A1" s="13" t="inlineStr">
        <is>
          <t>CHANGE REQUEST LOG — things to ADD or CHANGE (the product works, but it should be different). A defect is 'it does not do what it should'. A change request is 'what it should do must change'.</t>
        </is>
      </c>
    </row>
    <row r="2" ht="42" customHeight="1">
      <c r="A2" s="14" t="inlineStr">
        <is>
          <t>CR ID</t>
        </is>
      </c>
      <c r="B2" s="14" t="inlineStr">
        <is>
          <t>Date raised</t>
        </is>
      </c>
      <c r="C2" s="14" t="inlineStr">
        <is>
          <t>Raised by</t>
        </is>
      </c>
      <c r="D2" s="14" t="inlineStr">
        <is>
          <t>Raw note #</t>
        </is>
      </c>
      <c r="E2" s="14" t="inlineStr">
        <is>
          <t>Type</t>
        </is>
      </c>
      <c r="F2" s="14" t="inlineStr">
        <is>
          <t>Epic / Theme</t>
        </is>
      </c>
      <c r="G2" s="14" t="inlineStr">
        <is>
          <t>Title</t>
        </is>
      </c>
      <c r="H2" s="14" t="inlineStr">
        <is>
          <t>What was asked (your words, tidied)</t>
        </is>
      </c>
      <c r="I2" s="14" t="inlineStr">
        <is>
          <t>Why it matters</t>
        </is>
      </c>
      <c r="J2" s="14" t="inlineStr">
        <is>
          <t>Area / Module</t>
        </is>
      </c>
      <c r="K2" s="14" t="inlineStr">
        <is>
          <t>Route (URL)</t>
        </is>
      </c>
      <c r="L2" s="14" t="inlineStr">
        <is>
          <t>Roles affected</t>
        </is>
      </c>
      <c r="M2" s="14" t="inlineStr">
        <is>
          <t>Priority</t>
        </is>
      </c>
      <c r="N2" s="14" t="inlineStr">
        <is>
          <t>Effort</t>
        </is>
      </c>
      <c r="O2" s="14" t="inlineStr">
        <is>
          <t>Status</t>
        </is>
      </c>
      <c r="P2" s="14" t="inlineStr">
        <is>
          <t>Target release</t>
        </is>
      </c>
      <c r="Q2" s="14" t="inlineStr">
        <is>
          <t>Depends on</t>
        </is>
      </c>
      <c r="R2" s="14" t="inlineStr">
        <is>
          <t>Acceptance criteria (how we know it is done)</t>
        </is>
      </c>
      <c r="S2" s="14" t="inlineStr">
        <is>
          <t>Linked defect</t>
        </is>
      </c>
      <c r="T2" s="14" t="inlineStr">
        <is>
          <t>Comments</t>
        </is>
      </c>
    </row>
    <row r="3" ht="108" customHeight="1">
      <c r="A3" s="16" t="inlineStr">
        <is>
          <t>CR-001</t>
        </is>
      </c>
      <c r="B3" s="16">
        <f>TODAY()</f>
        <v/>
      </c>
      <c r="C3" s="16" t="inlineStr">
        <is>
          <t>Othman</t>
        </is>
      </c>
      <c r="D3" s="16" t="n">
        <v>1</v>
      </c>
      <c r="E3" s="16" t="inlineStr">
        <is>
          <t>Content</t>
        </is>
      </c>
      <c r="F3" s="16" t="inlineStr">
        <is>
          <t>Content &amp; tone</t>
        </is>
      </c>
      <c r="G3" s="17" t="inlineStr">
        <is>
          <t>Remove the em dash (—) from all product copy</t>
        </is>
      </c>
      <c r="H3" s="16" t="inlineStr">
        <is>
          <t>Remove the '—' character everywhere it appears in product content.</t>
        </is>
      </c>
      <c r="I3" s="16" t="inlineStr">
        <is>
          <t>Consistent typography; the em dash reads as machine-written and is awkward in French and Arabic.</t>
        </is>
      </c>
      <c r="J3" s="16" t="inlineStr">
        <is>
          <t>All modules</t>
        </is>
      </c>
      <c r="K3" s="16" t="inlineStr">
        <is>
          <t>Global</t>
        </is>
      </c>
      <c r="L3" s="16" t="inlineStr">
        <is>
          <t>all</t>
        </is>
      </c>
      <c r="M3" s="16" t="inlineStr">
        <is>
          <t>P3 - Medium</t>
        </is>
      </c>
      <c r="N3" s="16" t="inlineStr">
        <is>
          <t>S</t>
        </is>
      </c>
      <c r="O3" s="16" t="inlineStr">
        <is>
          <t>DONE</t>
        </is>
      </c>
      <c r="P3" s="16" t="inlineStr">
        <is>
          <t>2026-07-23</t>
        </is>
      </c>
      <c r="Q3" s="16" t="inlineStr"/>
      <c r="R3" s="16" t="inlineStr">
        <is>
          <t>Grep the whole repo (app, core, mobile, i18n) for '—'. Zero occurrences remain in user-facing strings. Both fr and ar locale files verified. No layout breaks from the replacement punctuation.</t>
        </is>
      </c>
      <c r="S3" s="16" t="inlineStr"/>
      <c r="T3" s="16" t="inlineStr">
        <is>
          <t>LIVRÉ 2026-07-23. La passe de contenu (commit affa9ed) avait retiré 535 tirets du FR+AR ; il restait 3 tirets dans des chaînes RÉELLEMENT affichées : opsprofile.js (mode client) et 2 libellés d'autorité (locales.js BH/QA). Nettoyés (· et virgule). Recherche exhaustive : plus AUCUN tiret cadratin dans une chaîne rendue — il n'en reste que dans les commentaires de code (volontairement laissés). Critère d'acceptation atteint.</t>
        </is>
      </c>
    </row>
    <row r="4" ht="108" customHeight="1">
      <c r="A4" s="16" t="inlineStr">
        <is>
          <t>CR-002</t>
        </is>
      </c>
      <c r="B4" s="16">
        <f>TODAY()</f>
        <v/>
      </c>
      <c r="C4" s="16" t="inlineStr">
        <is>
          <t>Othman</t>
        </is>
      </c>
      <c r="D4" s="16" t="n">
        <v>2</v>
      </c>
      <c r="E4" s="16" t="inlineStr">
        <is>
          <t>Content</t>
        </is>
      </c>
      <c r="F4" s="16" t="inlineStr">
        <is>
          <t>Landing &amp; login</t>
        </is>
      </c>
      <c r="G4" s="17" t="inlineStr">
        <is>
          <t>Clarify or rename the 'Deux mondes' section</t>
        </is>
      </c>
      <c r="H4" s="16" t="inlineStr">
        <is>
          <t>The section title 'Deux mondes' is not self-explanatory; a visitor cannot tell what it means.</t>
        </is>
      </c>
      <c r="I4" s="16" t="inlineStr">
        <is>
          <t>The landing page has about five seconds to be understood. An unclear heading loses the visitor.</t>
        </is>
      </c>
      <c r="J4" s="16" t="inlineStr">
        <is>
          <t>Landing</t>
        </is>
      </c>
      <c r="K4" s="16" t="inlineStr">
        <is>
          <t>https://edu.kogiagroup.com/</t>
        </is>
      </c>
      <c r="L4" s="16" t="inlineStr">
        <is>
          <t>public</t>
        </is>
      </c>
      <c r="M4" s="16" t="inlineStr">
        <is>
          <t>P2 - High</t>
        </is>
      </c>
      <c r="N4" s="16" t="inlineStr">
        <is>
          <t>S</t>
        </is>
      </c>
      <c r="O4" s="21" t="inlineStr">
        <is>
          <t>DONE</t>
        </is>
      </c>
      <c r="P4" s="16" t="inlineStr">
        <is>
          <t>2026-07-23</t>
        </is>
      </c>
      <c r="Q4" s="16" t="inlineStr"/>
      <c r="R4" s="16" t="inlineStr">
        <is>
          <t>A reader who has never seen Coreon understands what the section offers from the heading alone, without scrolling. Tested on three people who do not know the product.</t>
        </is>
      </c>
      <c r="S4" s="16" t="inlineStr"/>
      <c r="T4" s="16" t="inlineStr">
        <is>
          <t>Le libellé de menu « Deux mondes » devient « Crèche &amp; primaire ». Déployé.</t>
        </is>
      </c>
    </row>
    <row r="5" ht="108" customHeight="1">
      <c r="A5" s="16" t="inlineStr">
        <is>
          <t>CR-003</t>
        </is>
      </c>
      <c r="B5" s="16">
        <f>TODAY()</f>
        <v/>
      </c>
      <c r="C5" s="16" t="inlineStr">
        <is>
          <t>Othman</t>
        </is>
      </c>
      <c r="D5" s="16" t="n">
        <v>3</v>
      </c>
      <c r="E5" s="16" t="inlineStr">
        <is>
          <t>Enhancement</t>
        </is>
      </c>
      <c r="F5" s="16" t="inlineStr">
        <is>
          <t>Internationalisation</t>
        </is>
      </c>
      <c r="G5" s="17" t="inlineStr">
        <is>
          <t>Show pricing in EUR instead of TND</t>
        </is>
      </c>
      <c r="H5" s="16" t="inlineStr">
        <is>
          <t>Convert the pricing cards to euro.</t>
        </is>
      </c>
      <c r="I5" s="16" t="inlineStr">
        <is>
          <t>Required for the European positioning; TND signals a local-only product.</t>
        </is>
      </c>
      <c r="J5" s="16" t="inlineStr">
        <is>
          <t>Landing / Settings</t>
        </is>
      </c>
      <c r="K5" s="16" t="inlineStr">
        <is>
          <t>https://edu.kogiagroup.com/</t>
        </is>
      </c>
      <c r="L5" s="16" t="inlineStr">
        <is>
          <t>public, schooladmin</t>
        </is>
      </c>
      <c r="M5" s="16" t="inlineStr">
        <is>
          <t>P2 - High</t>
        </is>
      </c>
      <c r="N5" s="16" t="inlineStr">
        <is>
          <t>M</t>
        </is>
      </c>
      <c r="O5" s="21" t="inlineStr">
        <is>
          <t>DONE</t>
        </is>
      </c>
      <c r="P5" s="16" t="inlineStr">
        <is>
          <t>2026-07-23</t>
        </is>
      </c>
      <c r="Q5" s="16" t="inlineStr"/>
      <c r="R5" s="16" t="inlineStr">
        <is>
          <t>Pricing displays in EUR with correct formatting. Currency is driven by the settings currency field, not hard-coded. Existing TND schools are unaffected.</t>
        </is>
      </c>
      <c r="S5" s="16" t="inlineStr"/>
      <c r="T5" s="16" t="inlineStr">
        <is>
          <t>Tarifs de la page d’accueil en euros (plus de TND). Déployé.</t>
        </is>
      </c>
    </row>
    <row r="6" ht="108" customHeight="1">
      <c r="A6" s="16" t="inlineStr">
        <is>
          <t>CR-004</t>
        </is>
      </c>
      <c r="B6" s="16">
        <f>TODAY()</f>
        <v/>
      </c>
      <c r="C6" s="16" t="inlineStr">
        <is>
          <t>Othman</t>
        </is>
      </c>
      <c r="D6" s="16" t="n">
        <v>4</v>
      </c>
      <c r="E6" s="16" t="inlineStr">
        <is>
          <t>Enhancement</t>
        </is>
      </c>
      <c r="F6" s="16" t="inlineStr">
        <is>
          <t>Internationalisation</t>
        </is>
      </c>
      <c r="G6" s="17" t="inlineStr">
        <is>
          <t>Remove Tunisia-specific content from the product</t>
        </is>
      </c>
      <c r="H6" s="16" t="inlineStr">
        <is>
          <t>Eliminate the Tunisian framing from all product content and elements.</t>
        </is>
      </c>
      <c r="I6" s="16" t="inlineStr">
        <is>
          <t>Positions the product for an international market rather than one country.</t>
        </is>
      </c>
      <c r="J6" s="16" t="inlineStr">
        <is>
          <t>All modules</t>
        </is>
      </c>
      <c r="K6" s="16" t="inlineStr">
        <is>
          <t>Global</t>
        </is>
      </c>
      <c r="L6" s="16" t="inlineStr">
        <is>
          <t>all</t>
        </is>
      </c>
      <c r="M6" s="16" t="inlineStr">
        <is>
          <t>P2 - High</t>
        </is>
      </c>
      <c r="N6" s="16" t="inlineStr">
        <is>
          <t>L</t>
        </is>
      </c>
      <c r="O6" s="21" t="inlineStr">
        <is>
          <t>DONE</t>
        </is>
      </c>
      <c r="P6" s="16" t="inlineStr">
        <is>
          <t>2026-07-23</t>
        </is>
      </c>
      <c r="Q6" s="16" t="inlineStr"/>
      <c r="R6" s="16" t="inlineStr">
        <is>
          <t>No Tunisian governorate list, CIN-only identity, TND-only currency, Tunisia-specific request types or '© 2026 Tunisie' footer is forced on a new school. Each becomes a configurable locale pack. Tunisia remains available as one option, not the default assumption.</t>
        </is>
      </c>
      <c r="S6" s="16" t="inlineStr"/>
      <c r="T6" s="16" t="inlineStr">
        <is>
          <t>core/src/locales.js : packs de pays. tunisia.js délègue au pack actif. La Tunisie reste le défaut, intacte. Déployé.</t>
        </is>
      </c>
    </row>
    <row r="7" ht="108" customHeight="1">
      <c r="A7" s="16" t="inlineStr">
        <is>
          <t>CR-005</t>
        </is>
      </c>
      <c r="B7" s="16">
        <f>TODAY()</f>
        <v/>
      </c>
      <c r="C7" s="16" t="inlineStr">
        <is>
          <t>Othman</t>
        </is>
      </c>
      <c r="D7" s="16" t="n">
        <v>5</v>
      </c>
      <c r="E7" s="16" t="inlineStr">
        <is>
          <t>Epic</t>
        </is>
      </c>
      <c r="F7" s="16" t="inlineStr">
        <is>
          <t>Internationalisation</t>
        </is>
      </c>
      <c r="G7" s="17" t="inlineStr">
        <is>
          <t>Reposition Coreon EDU for the European market</t>
        </is>
      </c>
      <c r="H7" s="16" t="inlineStr">
        <is>
          <t>Redirect the product to be international, European-facing.</t>
        </is>
      </c>
      <c r="I7" s="16" t="inlineStr">
        <is>
          <t>Strategic direction for the whole product; drives CR-003, CR-004 and the compliance work.</t>
        </is>
      </c>
      <c r="J7" s="16" t="inlineStr">
        <is>
          <t>All modules</t>
        </is>
      </c>
      <c r="K7" s="16" t="inlineStr">
        <is>
          <t>Global</t>
        </is>
      </c>
      <c r="L7" s="16" t="inlineStr">
        <is>
          <t>all</t>
        </is>
      </c>
      <c r="M7" s="16" t="inlineStr">
        <is>
          <t>P1 - Immediate</t>
        </is>
      </c>
      <c r="N7" s="16" t="inlineStr">
        <is>
          <t>XL</t>
        </is>
      </c>
      <c r="O7" s="21" t="inlineStr">
        <is>
          <t>DONE</t>
        </is>
      </c>
      <c r="P7" s="16" t="inlineStr">
        <is>
          <t>2026-07-23</t>
        </is>
      </c>
      <c r="Q7" s="16" t="inlineStr"/>
      <c r="R7" s="16" t="inlineStr">
        <is>
          <t>A written positioning decision exists: target countries, languages, currency, and the compliance regime (GDPR rather than loi 2004-63). Every child CR references it. Landing copy, pricing, identity fields and legal text all follow from it.</t>
        </is>
      </c>
      <c r="S7" s="16" t="inlineStr"/>
      <c r="T7" s="16" t="inlineStr">
        <is>
          <t>Sélecteur de PAYS dans les paramètres (Tunisie/France/International) pilotant régions, pièce d’identité, cadre légal, devise. Déployé.</t>
        </is>
      </c>
    </row>
    <row r="8" ht="108" customHeight="1">
      <c r="A8" s="16" t="inlineStr">
        <is>
          <t>CR-006</t>
        </is>
      </c>
      <c r="B8" s="16">
        <f>TODAY()</f>
        <v/>
      </c>
      <c r="C8" s="16" t="inlineStr">
        <is>
          <t>Othman</t>
        </is>
      </c>
      <c r="D8" s="16" t="n">
        <v>6</v>
      </c>
      <c r="E8" s="16" t="inlineStr">
        <is>
          <t>Enhancement</t>
        </is>
      </c>
      <c r="F8" s="16" t="inlineStr">
        <is>
          <t>Landing &amp; login</t>
        </is>
      </c>
      <c r="G8" s="17" t="inlineStr">
        <is>
          <t>Replace the one-page anchor nav with real pages</t>
        </is>
      </c>
      <c r="H8" s="16" t="inlineStr">
        <is>
          <t>Clicking Deux mondes / Modules / Vos données / Tarifs / FAQ only scrolls the same page. It should feel like navigating to a different place.</t>
        </is>
      </c>
      <c r="I8" s="16" t="inlineStr">
        <is>
          <t>Anchor-only navigation feels unresponsive and gives each topic no shareable URL and no SEO value.</t>
        </is>
      </c>
      <c r="J8" s="16" t="inlineStr">
        <is>
          <t>Landing</t>
        </is>
      </c>
      <c r="K8" s="16" t="inlineStr">
        <is>
          <t>https://edu.kogiagroup.com/</t>
        </is>
      </c>
      <c r="L8" s="16" t="inlineStr">
        <is>
          <t>public</t>
        </is>
      </c>
      <c r="M8" s="16" t="inlineStr">
        <is>
          <t>P2 - High</t>
        </is>
      </c>
      <c r="N8" s="16" t="inlineStr">
        <is>
          <t>M</t>
        </is>
      </c>
      <c r="O8" s="22" t="inlineStr">
        <is>
          <t>DONE</t>
        </is>
      </c>
      <c r="P8" s="16" t="inlineStr">
        <is>
          <t>2026-07-23</t>
        </is>
      </c>
      <c r="Q8" s="16" t="inlineStr"/>
      <c r="R8" s="16" t="inlineStr">
        <is>
          <t>Each nav item leads to its own routed page with its own URL that can be shared and bookmarked. The browser back button works. The active item is marked in the nav.</t>
        </is>
      </c>
      <c r="S8" s="16" t="inlineStr">
        <is>
          <t>DEF-003</t>
        </is>
      </c>
      <c r="T8" s="16" t="inlineStr">
        <is>
          <t>LIVRÉ 2026-07-23. La vitrine n'est plus une page unique à défilement : Accueil / Modules / Vos données / Tarifs / FAQ sont de VRAIES routes (#/, #/modules, #/donnees, #/tarifs, #/faq) sous une coquille partagée (app/src/pages/site/). URL propre partageable, bouton précédent respecté, entrée active marquée, accès direct à chaque page. Vérifié au navigateur (13/13) + e2e complet vert. Landing.jsx laissé en place, non importé.</t>
        </is>
      </c>
    </row>
    <row r="9" ht="108" customHeight="1">
      <c r="A9" s="16" t="inlineStr">
        <is>
          <t>CR-007</t>
        </is>
      </c>
      <c r="B9" s="16">
        <f>TODAY()</f>
        <v/>
      </c>
      <c r="C9" s="16" t="inlineStr">
        <is>
          <t>Othman</t>
        </is>
      </c>
      <c r="D9" s="16" t="n">
        <v>7</v>
      </c>
      <c r="E9" s="16" t="inlineStr">
        <is>
          <t>Design</t>
        </is>
      </c>
      <c r="F9" s="16" t="inlineStr">
        <is>
          <t>Pre-enrolment</t>
        </is>
      </c>
      <c r="G9" s="17" t="inlineStr">
        <is>
          <t>Widen the pre-enrolment form layout</t>
        </is>
      </c>
      <c r="H9" s="16" t="inlineStr">
        <is>
          <t>The form is too narrow; use more of the horizontal space on left and right.</t>
        </is>
      </c>
      <c r="I9" s="16" t="inlineStr">
        <is>
          <t>A cramped public form is the first impression a parent gets of the school's software.</t>
        </is>
      </c>
      <c r="J9" s="16" t="inlineStr">
        <is>
          <t>Pre-enrolment</t>
        </is>
      </c>
      <c r="K9" s="16" t="inlineStr">
        <is>
          <t>#/inscription</t>
        </is>
      </c>
      <c r="L9" s="16" t="inlineStr">
        <is>
          <t>public</t>
        </is>
      </c>
      <c r="M9" s="16" t="inlineStr">
        <is>
          <t>P3 - Medium</t>
        </is>
      </c>
      <c r="N9" s="16" t="inlineStr">
        <is>
          <t>S</t>
        </is>
      </c>
      <c r="O9" s="21" t="inlineStr">
        <is>
          <t>DONE</t>
        </is>
      </c>
      <c r="P9" s="16" t="inlineStr">
        <is>
          <t>42601e8 · 2026-07-22</t>
        </is>
      </c>
      <c r="Q9" s="16" t="inlineStr"/>
      <c r="R9" s="16" t="inlineStr">
        <is>
          <t>The form uses a wider container on desktop, stays readable (line length under ~75 characters), and still shows zero horizontal overflow at 390 px.</t>
        </is>
      </c>
      <c r="S9" s="16" t="inlineStr"/>
      <c r="T9" s="16" t="inlineStr">
        <is>
          <t>Formulaire élargi (max-w-2xl → max-w-4xl). Vérifié : toujours 0 débordement à 390px.</t>
        </is>
      </c>
    </row>
    <row r="10" ht="108" customHeight="1">
      <c r="A10" s="16" t="inlineStr">
        <is>
          <t>CR-008</t>
        </is>
      </c>
      <c r="B10" s="16">
        <f>TODAY()</f>
        <v/>
      </c>
      <c r="C10" s="16" t="inlineStr">
        <is>
          <t>Othman</t>
        </is>
      </c>
      <c r="D10" s="16" t="n">
        <v>8</v>
      </c>
      <c r="E10" s="16" t="inlineStr">
        <is>
          <t>New feature</t>
        </is>
      </c>
      <c r="F10" s="16" t="inlineStr">
        <is>
          <t>Pre-enrolment</t>
        </is>
      </c>
      <c r="G10" s="17" t="inlineStr">
        <is>
          <t>Extend the pre-enrolment form with full family and health details</t>
        </is>
      </c>
      <c r="H10" s="16" t="inlineStr">
        <is>
          <t>Add fields modelled on a standard preschool registration form: child first/last name, date of birth, gender, full home address; mother and father each with name, phone and address; health conditions (allergies, illness, disability) with a free-text description; anything else the teachers should know; preferred programme (days per week, before/after school care).</t>
        </is>
      </c>
      <c r="I10" s="16" t="inlineStr">
        <is>
          <t>The current form captures the minimum. A school cannot make an admission decision from it, and the data has to be re-collected by hand later.</t>
        </is>
      </c>
      <c r="J10" s="16" t="inlineStr">
        <is>
          <t>Pre-enrolment</t>
        </is>
      </c>
      <c r="K10" s="16" t="inlineStr">
        <is>
          <t>#/inscription</t>
        </is>
      </c>
      <c r="L10" s="16" t="inlineStr">
        <is>
          <t>public, schooladmin, admin</t>
        </is>
      </c>
      <c r="M10" s="16" t="inlineStr">
        <is>
          <t>P1 - Immediate</t>
        </is>
      </c>
      <c r="N10" s="16" t="inlineStr">
        <is>
          <t>L</t>
        </is>
      </c>
      <c r="O10" s="21" t="inlineStr">
        <is>
          <t>DONE</t>
        </is>
      </c>
      <c r="P10" s="16" t="inlineStr">
        <is>
          <t>2026-07-23</t>
        </is>
      </c>
      <c r="Q10" s="16" t="inlineStr"/>
      <c r="R10" s="16" t="inlineStr">
        <is>
          <t>All new fields are captured, validated, persisted, and visible in the Admissions detail modal. Required vs optional is explicit. The health section is stored with the same protection as other health data. The form still submits successfully with only the required fields filled.</t>
        </is>
      </c>
      <c r="S10" s="16" t="inlineStr"/>
      <c r="T10" s="16" t="inlineStr">
        <is>
          <t>Formulaire de pré-inscription enrichi : famille complète, santé, adresse structurée avec pays. Déployé.</t>
        </is>
      </c>
    </row>
    <row r="11" ht="108" customHeight="1">
      <c r="A11" s="16" t="inlineStr">
        <is>
          <t>CR-009</t>
        </is>
      </c>
      <c r="B11" s="16">
        <f>TODAY()</f>
        <v/>
      </c>
      <c r="C11" s="16" t="inlineStr">
        <is>
          <t>Othman</t>
        </is>
      </c>
      <c r="D11" s="16" t="n">
        <v>9</v>
      </c>
      <c r="E11" s="16" t="inlineStr">
        <is>
          <t>New feature</t>
        </is>
      </c>
      <c r="F11" s="16" t="inlineStr">
        <is>
          <t>Pre-enrolment</t>
        </is>
      </c>
      <c r="G11" s="17" t="inlineStr">
        <is>
          <t>Add terms, agreements and consent to the pre-enrolment form</t>
        </is>
      </c>
      <c r="H11" s="16" t="inlineStr">
        <is>
          <t>Select the applicable conditions from a standard registration form: fee payment commitment, notice period for withdrawal, immunisation record requirement, the school's right to decline, guardian signature and date, and data-protection consent.</t>
        </is>
      </c>
      <c r="I11" s="16" t="inlineStr">
        <is>
          <t>Without an agreed set of terms the pre-enrolment is not a commitment and gives the school no legal footing.</t>
        </is>
      </c>
      <c r="J11" s="16" t="inlineStr">
        <is>
          <t>Pre-enrolment</t>
        </is>
      </c>
      <c r="K11" s="16" t="inlineStr">
        <is>
          <t>#/inscription</t>
        </is>
      </c>
      <c r="L11" s="16" t="inlineStr">
        <is>
          <t>public, schooladmin</t>
        </is>
      </c>
      <c r="M11" s="16" t="inlineStr">
        <is>
          <t>P1 - Immediate</t>
        </is>
      </c>
      <c r="N11" s="16" t="inlineStr">
        <is>
          <t>M</t>
        </is>
      </c>
      <c r="O11" s="21" t="inlineStr">
        <is>
          <t>DONE</t>
        </is>
      </c>
      <c r="P11" s="16" t="inlineStr">
        <is>
          <t>2026-07-23</t>
        </is>
      </c>
      <c r="Q11" s="16" t="inlineStr"/>
      <c r="R11" s="16" t="inlineStr">
        <is>
          <t>Terms are displayed before submission, consent is an explicit action (never pre-ticked), the submission is refused without it, and the accepted version and timestamp are stored with the application. Aligned with the compliance regime chosen in CR-005.</t>
        </is>
      </c>
      <c r="S11" s="16" t="inlineStr"/>
      <c r="T11" s="16" t="inlineStr">
        <is>
          <t>6 engagements datés et conservés. Déployé.</t>
        </is>
      </c>
    </row>
    <row r="12" ht="108" customHeight="1">
      <c r="A12" s="16" t="inlineStr">
        <is>
          <t>CR-010</t>
        </is>
      </c>
      <c r="B12" s="16">
        <f>TODAY()</f>
        <v/>
      </c>
      <c r="C12" s="16" t="inlineStr">
        <is>
          <t>Othman</t>
        </is>
      </c>
      <c r="D12" s="16" t="n">
        <v>10</v>
      </c>
      <c r="E12" s="16" t="inlineStr">
        <is>
          <t>New feature</t>
        </is>
      </c>
      <c r="F12" s="16" t="inlineStr">
        <is>
          <t>Pre-enrolment</t>
        </is>
      </c>
      <c r="G12" s="17" t="inlineStr">
        <is>
          <t>Turn pre-enrolment into a multi-step wizard driven by the level</t>
        </is>
      </c>
      <c r="H12" s="16" t="inlineStr">
        <is>
          <t>The ten levels (Crèche, Pré-maternelle, Maternelle 1-2, 1ère to 6ème année) fall into categories with different rules and required information. The form should become several steps and ask only what that category needs.</t>
        </is>
      </c>
      <c r="I12" s="16" t="inlineStr">
        <is>
          <t>One flat form asking everything for everyone is long, confusing, and collects irrelevant data.</t>
        </is>
      </c>
      <c r="J12" s="16" t="inlineStr">
        <is>
          <t>Pre-enrolment</t>
        </is>
      </c>
      <c r="K12" s="16" t="inlineStr">
        <is>
          <t>#/inscription</t>
        </is>
      </c>
      <c r="L12" s="16" t="inlineStr">
        <is>
          <t>public</t>
        </is>
      </c>
      <c r="M12" s="16" t="inlineStr">
        <is>
          <t>P2 - High</t>
        </is>
      </c>
      <c r="N12" s="16" t="inlineStr">
        <is>
          <t>L</t>
        </is>
      </c>
      <c r="O12" s="21" t="inlineStr">
        <is>
          <t>DONE</t>
        </is>
      </c>
      <c r="P12" s="16" t="inlineStr">
        <is>
          <t>2026-07-23</t>
        </is>
      </c>
      <c r="Q12" s="16" t="inlineStr"/>
      <c r="R12" s="16" t="inlineStr">
        <is>
          <t>Level categories are defined and documented. Choosing a level determines the following steps. Progress is visible, back and forward preserve entered data, and validation runs per step. Depends on CR-008 for the field set.</t>
        </is>
      </c>
      <c r="S12" s="16" t="inlineStr"/>
      <c r="T12" s="16" t="inlineStr">
        <is>
          <t>Formulaire à étapes guidé par le niveau (crèche/maternelle/primaire). Déployé.</t>
        </is>
      </c>
    </row>
    <row r="13" ht="108" customHeight="1">
      <c r="A13" s="16" t="inlineStr">
        <is>
          <t>CR-011</t>
        </is>
      </c>
      <c r="B13" s="16">
        <f>TODAY()</f>
        <v/>
      </c>
      <c r="C13" s="16" t="inlineStr">
        <is>
          <t>Othman</t>
        </is>
      </c>
      <c r="D13" s="16" t="n">
        <v>11</v>
      </c>
      <c r="E13" s="16" t="inlineStr">
        <is>
          <t>Design</t>
        </is>
      </c>
      <c r="F13" s="16" t="inlineStr">
        <is>
          <t>Landing &amp; login</t>
        </is>
      </c>
      <c r="G13" s="17" t="inlineStr">
        <is>
          <t>Redesign the login page</t>
        </is>
      </c>
      <c r="H13" s="16" t="inlineStr">
        <is>
          <t>The login page design needs rework.</t>
        </is>
      </c>
      <c r="I13" s="16" t="inlineStr">
        <is>
          <t>The login screen is seen on every single visit by every user; it sets the perceived quality of the product.</t>
        </is>
      </c>
      <c r="J13" s="16" t="inlineStr">
        <is>
          <t>Login</t>
        </is>
      </c>
      <c r="K13" s="16" t="inlineStr">
        <is>
          <t>#/login</t>
        </is>
      </c>
      <c r="L13" s="16" t="inlineStr">
        <is>
          <t>all</t>
        </is>
      </c>
      <c r="M13" s="16" t="inlineStr">
        <is>
          <t>P2 - High</t>
        </is>
      </c>
      <c r="N13" s="16" t="inlineStr">
        <is>
          <t>M</t>
        </is>
      </c>
      <c r="O13" s="22" t="inlineStr">
        <is>
          <t>DONE</t>
        </is>
      </c>
      <c r="P13" s="16" t="inlineStr">
        <is>
          <t>2026-07-23</t>
        </is>
      </c>
      <c r="Q13" s="16" t="inlineStr"/>
      <c r="R13" s="16" t="inlineStr">
        <is>
          <t>A redesign is agreed against the Kogia Harmony brand system, fits every viewport from 390 px upward, and keeps the seven demo role buttons available in demo mode only. The viewport defect DEF-001 is fixed as part of this.</t>
        </is>
      </c>
      <c r="S13" s="16" t="inlineStr">
        <is>
          <t>DEF-001</t>
        </is>
      </c>
      <c r="T13" s="16" t="inlineStr">
        <is>
          <t>LIVRÉ 2026-07-23. Refonte de l'écran de connexion, direction « Clair éditorial » (choisie parmi 3 directions rendues) : fond clair aligné sur le site validé, formulaire à gauche, panneau marque à droite montrant la maquette produit en direct (évaluation). Violet Coreon en accent, logo en haut seulement, 0 débordement à 390px, mouvement coupé si réduit. Nouvelle accroche (CR-012) intégrée. Vérifié : 10/10 navigateur + suite e2e. DEF-001 déjà clos.</t>
        </is>
      </c>
    </row>
    <row r="14" ht="108" customHeight="1">
      <c r="A14" s="16" t="inlineStr">
        <is>
          <t>CR-012</t>
        </is>
      </c>
      <c r="B14" s="16">
        <f>TODAY()</f>
        <v/>
      </c>
      <c r="C14" s="16" t="inlineStr">
        <is>
          <t>Othman</t>
        </is>
      </c>
      <c r="D14" s="16" t="n">
        <v>12</v>
      </c>
      <c r="E14" s="16" t="inlineStr">
        <is>
          <t>Content</t>
        </is>
      </c>
      <c r="F14" s="16" t="inlineStr">
        <is>
          <t>Landing &amp; login</t>
        </is>
      </c>
      <c r="G14" s="17" t="inlineStr">
        <is>
          <t>Rewrite the login and landing marketing copy</t>
        </is>
      </c>
      <c r="H14" s="16" t="inlineStr">
        <is>
          <t>The current copy ('Pas un ERP scolaire de plus', 'L'école qu'on a envie d'ouvrir', the 121 / 96% / 8 figures, 'par Kogia Group © 2026 Tunisie') is not compelling.</t>
        </is>
      </c>
      <c r="I14" s="16" t="inlineStr">
        <is>
          <t>This is the first and most repeated text in the product; it carries the positioning.</t>
        </is>
      </c>
      <c r="J14" s="16" t="inlineStr">
        <is>
          <t>Landing / Login</t>
        </is>
      </c>
      <c r="K14" s="16" t="inlineStr">
        <is>
          <t>#/login</t>
        </is>
      </c>
      <c r="L14" s="16" t="inlineStr">
        <is>
          <t>public</t>
        </is>
      </c>
      <c r="M14" s="16" t="inlineStr">
        <is>
          <t>P2 - High</t>
        </is>
      </c>
      <c r="N14" s="16" t="inlineStr">
        <is>
          <t>M</t>
        </is>
      </c>
      <c r="O14" s="22" t="inlineStr">
        <is>
          <t>DONE</t>
        </is>
      </c>
      <c r="P14" s="16" t="inlineStr">
        <is>
          <t>2026-07-23</t>
        </is>
      </c>
      <c r="Q14" s="16" t="inlineStr"/>
      <c r="R14" s="16" t="inlineStr">
        <is>
          <t>New copy is written after CR-005 fixes the positioning, drops the Tunisia reference, and states clearly what Coreon does and for whom. Demo statistics are either real or clearly labelled as a demonstration.</t>
        </is>
      </c>
      <c r="S14" s="16" t="inlineStr"/>
      <c r="T14" s="16" t="inlineStr">
        <is>
          <t>LIVRÉ 2026-07-23. Accroche de connexion réécrite (les lignes qu'Othman jugeait peu attractives) : « Toute votre école, sur une seule plateforme. » + sous-titre admissions/évaluation/finances/communication. Ton international, plus « pas un ERP de plus ». FR + AR (i18n.js) dans le même geste. La refonte VISUELLE (couleurs/mise en page) relève de CR-011.</t>
        </is>
      </c>
    </row>
    <row r="15" ht="108" customHeight="1">
      <c r="A15" s="16" t="inlineStr">
        <is>
          <t>CR-013</t>
        </is>
      </c>
      <c r="B15" s="16">
        <f>TODAY()</f>
        <v/>
      </c>
      <c r="C15" s="16" t="inlineStr">
        <is>
          <t>Othman</t>
        </is>
      </c>
      <c r="D15" s="16" t="n">
        <v>13</v>
      </c>
      <c r="E15" s="16" t="inlineStr">
        <is>
          <t>New feature</t>
        </is>
      </c>
      <c r="F15" s="16" t="inlineStr">
        <is>
          <t>Authentication</t>
        </is>
      </c>
      <c r="G15" s="17" t="inlineStr">
        <is>
          <t>Add a password recovery flow</t>
        </is>
      </c>
      <c r="H15" s="16" t="inlineStr">
        <is>
          <t>There is no 'forgot password' anywhere. Add one, handled through support@kogiagroup.com.</t>
        </is>
      </c>
      <c r="I15" s="16" t="inlineStr">
        <is>
          <t>Without recovery, a locked-out user cannot get back in without a developer. This blocks any real school using the product.</t>
        </is>
      </c>
      <c r="J15" s="16" t="inlineStr">
        <is>
          <t>Login</t>
        </is>
      </c>
      <c r="K15" s="16" t="inlineStr">
        <is>
          <t>#/login</t>
        </is>
      </c>
      <c r="L15" s="16" t="inlineStr">
        <is>
          <t>all</t>
        </is>
      </c>
      <c r="M15" s="16" t="inlineStr">
        <is>
          <t>P1 - Immediate</t>
        </is>
      </c>
      <c r="N15" s="16" t="inlineStr">
        <is>
          <t>M</t>
        </is>
      </c>
      <c r="O15" s="21" t="inlineStr">
        <is>
          <t>DONE</t>
        </is>
      </c>
      <c r="P15" s="16" t="inlineStr">
        <is>
          <t>42601e8 · 2026-07-22</t>
        </is>
      </c>
      <c r="Q15" s="16" t="inlineStr"/>
      <c r="R15" s="16" t="inlineStr">
        <is>
          <t>A 'Mot de passe oublié' link exists on the login page. Submitting an address sends a time-limited, single-use reset link and reveals nothing about whether the account exists. Tokens expire. The flow works in server mode; behaviour in demo mode is explicitly defined. Runs through the existing coreon-mail-worker.</t>
        </is>
      </c>
      <c r="S15" s="16" t="inlineStr"/>
      <c r="T15" s="16" t="inlineStr">
        <is>
          <t>Livré. Serveur : /api/forgot + /api/reset, jeton usage unique 60 min, réponse neutre, 5 demandes/h/IP, compte désactivé ignoré, sessions fermées à la réinitialisation. Web : #/mot-de-passe-oublie + #/reinitialiser + lien sur /login. Mode démo : la demande part à support@kogiagroup.com. 4 tests serveur + 10 vérif. navigateur.</t>
        </is>
      </c>
    </row>
    <row r="16" ht="108" customHeight="1">
      <c r="A16" s="16" t="inlineStr">
        <is>
          <t>CR-014</t>
        </is>
      </c>
      <c r="B16" s="16">
        <f>TODAY()</f>
        <v/>
      </c>
      <c r="C16" s="16" t="inlineStr">
        <is>
          <t>Othman</t>
        </is>
      </c>
      <c r="D16" s="16" t="n">
        <v>14</v>
      </c>
      <c r="E16" s="16" t="inlineStr">
        <is>
          <t>New feature</t>
        </is>
      </c>
      <c r="F16" s="16" t="inlineStr">
        <is>
          <t>Owner console</t>
        </is>
      </c>
      <c r="G16" s="17" t="inlineStr">
        <is>
          <t>Add a technical corner to each school in the owner console</t>
        </is>
      </c>
      <c r="H16" s="16" t="inlineStr">
        <is>
          <t>As Kogia Group, be able to open a school and see its technical details: contact e-mails, domain, IP addresses, ports, configuration; and reach it directly to check what is happening. Start with whatever information exists today.</t>
        </is>
      </c>
      <c r="I16" s="16" t="inlineStr">
        <is>
          <t>You operate the platform for every school. Without this you cannot diagnose a customer problem without opening a terminal.</t>
        </is>
      </c>
      <c r="J16" s="16" t="inlineStr">
        <is>
          <t>Schools</t>
        </is>
      </c>
      <c r="K16" s="16" t="inlineStr">
        <is>
          <t>#/app/schools</t>
        </is>
      </c>
      <c r="L16" s="16" t="inlineStr">
        <is>
          <t>owner</t>
        </is>
      </c>
      <c r="M16" s="16" t="inlineStr">
        <is>
          <t>P2 - High</t>
        </is>
      </c>
      <c r="N16" s="16" t="inlineStr">
        <is>
          <t>L</t>
        </is>
      </c>
      <c r="O16" s="21" t="inlineStr">
        <is>
          <t>DONE</t>
        </is>
      </c>
      <c r="P16" s="16" t="inlineStr">
        <is>
          <t>2026-07-23</t>
        </is>
      </c>
      <c r="Q16" s="16" t="inlineStr"/>
      <c r="R16" s="16" t="inlineStr">
        <is>
          <t>Each school row opens a technical panel showing the fields that exist today (name, plan, Direction contact, status, revision, last activity), with clearly marked empty placeholders for the fields not yet collected. Owner-only. Never exposes passwords or personal pupil data. A follow-up CR adds the missing infrastructure fields.</t>
        </is>
      </c>
      <c r="S16" s="16" t="inlineStr"/>
      <c r="T16" s="16" t="inlineStr">
        <is>
          <t>Fiche technique par école dans la console plateforme : ce qu’on a, « à collecter » pour le reste. Déployé.</t>
        </is>
      </c>
    </row>
    <row r="17" ht="108" customHeight="1">
      <c r="A17" s="16" t="inlineStr">
        <is>
          <t>CR-015</t>
        </is>
      </c>
      <c r="B17" s="16">
        <f>TODAY()</f>
        <v/>
      </c>
      <c r="C17" s="16" t="inlineStr">
        <is>
          <t>Othman</t>
        </is>
      </c>
      <c r="D17" s="16" t="n">
        <v>16</v>
      </c>
      <c r="E17" s="16" t="inlineStr">
        <is>
          <t>Design</t>
        </is>
      </c>
      <c r="F17" s="16" t="inlineStr">
        <is>
          <t>Shell &amp; chrome</t>
        </is>
      </c>
      <c r="G17" s="17" t="inlineStr">
        <is>
          <t>Make the weather widget smaller</t>
        </is>
      </c>
      <c r="H17" s="16" t="inlineStr">
        <is>
          <t>The Météo corner is too prominent; reduce its size.</t>
        </is>
      </c>
      <c r="I17" s="16" t="inlineStr">
        <is>
          <t>It competes for attention with the working areas of the header.</t>
        </is>
      </c>
      <c r="J17" s="16" t="inlineStr">
        <is>
          <t>AppShell</t>
        </is>
      </c>
      <c r="K17" s="16" t="inlineStr">
        <is>
          <t>Global</t>
        </is>
      </c>
      <c r="L17" s="16" t="inlineStr">
        <is>
          <t>all</t>
        </is>
      </c>
      <c r="M17" s="16" t="inlineStr">
        <is>
          <t>P4 - Low</t>
        </is>
      </c>
      <c r="N17" s="16" t="inlineStr">
        <is>
          <t>XS</t>
        </is>
      </c>
      <c r="O17" s="21" t="inlineStr">
        <is>
          <t>DONE</t>
        </is>
      </c>
      <c r="P17" s="16" t="inlineStr">
        <is>
          <t>42601e8 · 2026-07-22</t>
        </is>
      </c>
      <c r="Q17" s="16" t="inlineStr"/>
      <c r="R17" s="16" t="inlineStr">
        <is>
          <t>The widget is visually secondary to the school name and the notification bell, still legible, and does not wrap the header at 390 px.</t>
        </is>
      </c>
      <c r="S17" s="16" t="inlineStr"/>
      <c r="T17" s="16" t="inlineStr">
        <is>
          <t>Chip météo en une seule ligne (icône 20px + température) ; libellé et détail dans le panneau.</t>
        </is>
      </c>
    </row>
    <row r="18" ht="108" customHeight="1">
      <c r="A18" s="16" t="inlineStr">
        <is>
          <t>CR-016</t>
        </is>
      </c>
      <c r="B18" s="16">
        <f>TODAY()</f>
        <v/>
      </c>
      <c r="C18" s="16" t="inlineStr">
        <is>
          <t>Othman</t>
        </is>
      </c>
      <c r="D18" s="16" t="n">
        <v>17</v>
      </c>
      <c r="E18" s="16" t="inlineStr">
        <is>
          <t>Research</t>
        </is>
      </c>
      <c r="F18" s="16" t="inlineStr">
        <is>
          <t>Role model</t>
        </is>
      </c>
      <c r="G18" s="17" t="inlineStr">
        <is>
          <t>Define what separates Direction from Administration</t>
        </is>
      </c>
      <c r="H18" s="16" t="inlineStr">
        <is>
          <t>The two roles feel like the same platform. The observed split is that Administration creates and receives requests and views evaluation dashboards, while Direction monitors and gives final approval. This needs to be researched and written down properly.</t>
        </is>
      </c>
      <c r="I18" s="16" t="inlineStr">
        <is>
          <t>Two roles that overlap confuse users, make permissions arbitrary, and block the departmental split in CR-019.</t>
        </is>
      </c>
      <c r="J18" s="16" t="inlineStr">
        <is>
          <t>Access control</t>
        </is>
      </c>
      <c r="K18" s="16" t="inlineStr">
        <is>
          <t>Global</t>
        </is>
      </c>
      <c r="L18" s="16" t="inlineStr">
        <is>
          <t>schooladmin, admin</t>
        </is>
      </c>
      <c r="M18" s="16" t="inlineStr">
        <is>
          <t>P1 - Immediate</t>
        </is>
      </c>
      <c r="N18" s="16" t="inlineStr">
        <is>
          <t>M</t>
        </is>
      </c>
      <c r="O18" s="21" t="inlineStr">
        <is>
          <t>DONE</t>
        </is>
      </c>
      <c r="P18" s="16" t="inlineStr">
        <is>
          <t>2026-07-23</t>
        </is>
      </c>
      <c r="Q18" s="16" t="inlineStr"/>
      <c r="R18" s="16" t="inlineStr">
        <is>
          <t>A written role definition exists for both: what each one owns, decides, approves and cannot do. It is validated against how real schools are organised. ROUTE_ROLES and WRITE_ACL are updated to match, and the difference is visible in the product, not only in the code.</t>
        </is>
      </c>
      <c r="S18" s="16" t="inlineStr"/>
      <c r="T18" s="16" t="inlineStr">
        <is>
          <t>Tranché et documenté (docs/quality/role-model.md §2) : l’Administration PRÉPARE et enregistre ; la Direction DÉCIDE et approuve. Jamais le même compte sur l’argent ou une action RH. Recherche sourcée (9 références).</t>
        </is>
      </c>
    </row>
    <row r="19" ht="108" customHeight="1">
      <c r="A19" s="16" t="inlineStr">
        <is>
          <t>CR-017</t>
        </is>
      </c>
      <c r="B19" s="16">
        <f>TODAY()</f>
        <v/>
      </c>
      <c r="C19" s="16" t="inlineStr">
        <is>
          <t>Othman</t>
        </is>
      </c>
      <c r="D19" s="16" t="n">
        <v>18</v>
      </c>
      <c r="E19" s="16" t="inlineStr">
        <is>
          <t>Epic</t>
        </is>
      </c>
      <c r="F19" s="16" t="inlineStr">
        <is>
          <t>Identity &amp; numbering</t>
        </is>
      </c>
      <c r="G19" s="17" t="inlineStr">
        <is>
          <t>Give every record a formal, structured ID</t>
        </is>
      </c>
      <c r="H19" s="16" t="inlineStr">
        <is>
          <t>Nothing currently carries a proper identifier. Every entity — student, teacher, request, accident, registration — should have a structured ID following a real numbering convention, not a raw internal key.</t>
        </is>
      </c>
      <c r="I19" s="16" t="inlineStr">
        <is>
          <t>Structured IDs are what make an ERP auditable: they can be quoted on paper, searched, and traced.</t>
        </is>
      </c>
      <c r="J19" s="16" t="inlineStr">
        <is>
          <t>All modules</t>
        </is>
      </c>
      <c r="K19" s="16" t="inlineStr">
        <is>
          <t>Global</t>
        </is>
      </c>
      <c r="L19" s="16" t="inlineStr">
        <is>
          <t>all</t>
        </is>
      </c>
      <c r="M19" s="16" t="inlineStr">
        <is>
          <t>P1 - Immediate</t>
        </is>
      </c>
      <c r="N19" s="16" t="inlineStr">
        <is>
          <t>XL</t>
        </is>
      </c>
      <c r="O19" s="16" t="inlineStr">
        <is>
          <t>NEW</t>
        </is>
      </c>
      <c r="P19" s="16" t="inlineStr"/>
      <c r="Q19" s="16" t="inlineStr"/>
      <c r="R19" s="16" t="inlineStr">
        <is>
          <t>A documented numbering scheme exists (prefix, year, sequence, check digit) with one prefix per entity type. IDs are gapless, immutable once issued, never reused, and shown wherever the record appears. Existing demo data is migrated. Follows the pattern already proven in the Documents registry.</t>
        </is>
      </c>
      <c r="S19" s="16" t="inlineStr"/>
      <c r="T19" s="16" t="inlineStr">
        <is>
          <t>SPÉCIFIÉ (plus bloqué par la recherche) : voir docs/quality/role-model.md §7 pour le backlog concret. Reste un chantier de plusieurs semaines qui touche le modèle de données — à planifier avec Othman.   |  PLAN 2026-07-23 : docs/quality/erp-epics-plan.md — séquencement (CR-017 d'abord, faible risque ; CR-018 après un 2ᵉ marché) + 3 décisions à prendre (D-1 portée « vrai ERP », D-2 Person avant pilote ?, D-3 partie double ?). Rien n'est lancé : attend la décision d'Othman.</t>
        </is>
      </c>
    </row>
    <row r="20" ht="108" customHeight="1">
      <c r="A20" s="16" t="inlineStr">
        <is>
          <t>CR-018</t>
        </is>
      </c>
      <c r="B20" s="16">
        <f>TODAY()</f>
        <v/>
      </c>
      <c r="C20" s="16" t="inlineStr">
        <is>
          <t>Othman</t>
        </is>
      </c>
      <c r="D20" s="16" t="n">
        <v>18</v>
      </c>
      <c r="E20" s="16" t="inlineStr">
        <is>
          <t>Epic</t>
        </is>
      </c>
      <c r="F20" s="16" t="inlineStr">
        <is>
          <t>Identity &amp; numbering</t>
        </is>
      </c>
      <c r="G20" s="17" t="inlineStr">
        <is>
          <t>Add a person identity record separate from the entity ID</t>
        </is>
      </c>
      <c r="H20" s="16" t="inlineStr">
        <is>
          <t>Two different IDs are needed: the record ID from CR-017, and a real human identity for every person — national ID card or passport — chosen by the parent for a child and by the adult for themselves.</t>
        </is>
      </c>
      <c r="I20" s="16" t="inlineStr">
        <is>
          <t>One human can be a parent, an employee and an alumnus at once. Without a person record they become three unrelated rows, and no ERP can work that way.</t>
        </is>
      </c>
      <c r="J20" s="16" t="inlineStr">
        <is>
          <t>All modules</t>
        </is>
      </c>
      <c r="K20" s="16" t="inlineStr">
        <is>
          <t>Global</t>
        </is>
      </c>
      <c r="L20" s="16" t="inlineStr">
        <is>
          <t>all</t>
        </is>
      </c>
      <c r="M20" s="16" t="inlineStr">
        <is>
          <t>P1 - Immediate</t>
        </is>
      </c>
      <c r="N20" s="16" t="inlineStr">
        <is>
          <t>XL</t>
        </is>
      </c>
      <c r="O20" s="16" t="inlineStr">
        <is>
          <t>NEW</t>
        </is>
      </c>
      <c r="P20" s="16" t="inlineStr"/>
      <c r="Q20" s="16" t="inlineStr"/>
      <c r="R20" s="16" t="inlineStr">
        <is>
          <t>A person entity exists, holding identity document type, number, issuing country and expiry, with the document type selectable rather than fixed to CIN. One person links to many roles. Uniqueness is enforced per document type and country. Identity data is treated as sensitive and excluded from staff-facing blobs. Depends on CR-017 and on the compliance regime from CR-005.</t>
        </is>
      </c>
      <c r="S20" s="16" t="inlineStr"/>
      <c r="T20" s="16" t="inlineStr">
        <is>
          <t>SPÉCIFIÉ (plus bloqué par la recherche) : voir docs/quality/role-model.md §7 pour le backlog concret. Reste un chantier de plusieurs semaines qui touche le modèle de données — à planifier avec Othman.   |  PLAN 2026-07-23 : docs/quality/erp-epics-plan.md — séquencement (CR-017 d'abord, faible risque ; CR-018 après un 2ᵉ marché) + 3 décisions à prendre (D-1 portée « vrai ERP », D-2 Person avant pilote ?, D-3 partie double ?). Rien n'est lancé : attend la décision d'Othman.</t>
        </is>
      </c>
    </row>
    <row r="21" ht="108" customHeight="1">
      <c r="A21" s="16" t="inlineStr">
        <is>
          <t>CR-019</t>
        </is>
      </c>
      <c r="B21" s="16">
        <f>TODAY()</f>
        <v/>
      </c>
      <c r="C21" s="16" t="inlineStr">
        <is>
          <t>Othman</t>
        </is>
      </c>
      <c r="D21" s="16" t="n">
        <v>21</v>
      </c>
      <c r="E21" s="16" t="inlineStr">
        <is>
          <t>Epic</t>
        </is>
      </c>
      <c r="F21" s="16" t="inlineStr">
        <is>
          <t>ERP architecture</t>
        </is>
      </c>
      <c r="G21" s="17" t="inlineStr">
        <is>
          <t>Split Administration into real departmental platforms</t>
        </is>
      </c>
      <c r="H21" s="16" t="inlineStr">
        <is>
          <t>One Administration platform holding every service is not how a school works — every school has departments, even when one person staffs them. Build genuine platforms for HR, Accounting and Administration.</t>
        </is>
      </c>
      <c r="I21" s="16" t="inlineStr">
        <is>
          <t>Departmental separation is what makes it an ERP rather than a collection of screens, and it is the precondition for real separation of duties.</t>
        </is>
      </c>
      <c r="J21" s="16" t="inlineStr">
        <is>
          <t>All modules</t>
        </is>
      </c>
      <c r="K21" s="16" t="inlineStr">
        <is>
          <t>Global</t>
        </is>
      </c>
      <c r="L21" s="16" t="inlineStr">
        <is>
          <t>schooladmin, admin</t>
        </is>
      </c>
      <c r="M21" s="16" t="inlineStr">
        <is>
          <t>P1 - Immediate</t>
        </is>
      </c>
      <c r="N21" s="16" t="inlineStr">
        <is>
          <t>XL</t>
        </is>
      </c>
      <c r="O21" s="21" t="inlineStr">
        <is>
          <t>DONE</t>
        </is>
      </c>
      <c r="P21" s="16" t="inlineStr">
        <is>
          <t>2026-07-23</t>
        </is>
      </c>
      <c r="Q21" s="16" t="inlineStr"/>
      <c r="R21" s="16" t="inlineStr">
        <is>
          <t>Each department has its own workspace, its own role, its own permissions and its own dashboard. A person can hold more than one departmental role. Data crosses departments only through explicit, logged handovers. One person can still run all of them in a small school without extra friction. Depends on CR-016.</t>
        </is>
      </c>
      <c r="S21" s="16" t="inlineStr"/>
      <c r="T21" s="16" t="inlineStr">
        <is>
          <t>LIVRÉ. Deux départements réels et composables : RH (rh@alnour.tn) et Comptabilité (comptable@alnour.tn), chacun avec son périmètre, son tableau de bord, et un cloisonnement prouvé (route + nav + données serveur). admin reste le généraliste. La séparation « déposant≠approbateur » viendra avec le moteur de workflow.</t>
        </is>
      </c>
    </row>
    <row r="22" ht="108" customHeight="1">
      <c r="A22" s="16" t="inlineStr">
        <is>
          <t>CR-020</t>
        </is>
      </c>
      <c r="B22" s="16">
        <f>TODAY()</f>
        <v/>
      </c>
      <c r="C22" s="16" t="inlineStr">
        <is>
          <t>Othman</t>
        </is>
      </c>
      <c r="D22" s="16" t="n">
        <v>22</v>
      </c>
      <c r="E22" s="16" t="inlineStr">
        <is>
          <t>Research</t>
        </is>
      </c>
      <c r="F22" s="16" t="inlineStr">
        <is>
          <t>Role model</t>
        </is>
      </c>
      <c r="G22" s="17" t="inlineStr">
        <is>
          <t>Map the relationships between every role across every level</t>
        </is>
      </c>
      <c r="H22" s="16" t="inlineStr">
        <is>
          <t>Research how Direction, Administration, HR, Accounting, Supervisor, Security, Teacher and Parent relate to each other in a school, across all ten levels from Crèche to 6ème année.</t>
        </is>
      </c>
      <c r="I22" s="16" t="inlineStr">
        <is>
          <t>This is the foundation under CR-016, CR-019 and the permission model. Guessing it produces a product that no real school recognises.</t>
        </is>
      </c>
      <c r="J22" s="16" t="inlineStr">
        <is>
          <t>Access control</t>
        </is>
      </c>
      <c r="K22" s="16" t="inlineStr">
        <is>
          <t>Global</t>
        </is>
      </c>
      <c r="L22" s="16" t="inlineStr">
        <is>
          <t>all</t>
        </is>
      </c>
      <c r="M22" s="16" t="inlineStr">
        <is>
          <t>P1 - Immediate</t>
        </is>
      </c>
      <c r="N22" s="16" t="inlineStr">
        <is>
          <t>L</t>
        </is>
      </c>
      <c r="O22" s="21" t="inlineStr">
        <is>
          <t>DONE</t>
        </is>
      </c>
      <c r="P22" s="16" t="inlineStr">
        <is>
          <t>2026-07-23</t>
        </is>
      </c>
      <c r="Q22" s="16" t="inlineStr"/>
      <c r="R22" s="16" t="inlineStr">
        <is>
          <t>A written model exists: who reports to whom, who approves what, which information flows between roles, and how this differs between early years and primary. Backed by real sources, not assumption. It becomes the specification the permission matrix is tested against.</t>
        </is>
      </c>
      <c r="S22" s="16" t="inlineStr"/>
      <c r="T22" s="16" t="inlineStr">
        <is>
          <t>Modèle complet livré (docs/quality/role-model.md) : les 8 rôles POSSÈDE/DÉCIDE/APPROUVE/NE-DOIT-PAS, les chaînes d’approbation, la matrice « ne doit pas voir », et les différences crèche vs primaire. Devient la spéc de CR-019/021.</t>
        </is>
      </c>
    </row>
    <row r="23" ht="108" customHeight="1">
      <c r="A23" s="16" t="inlineStr">
        <is>
          <t>CR-021</t>
        </is>
      </c>
      <c r="B23" s="16">
        <f>TODAY()</f>
        <v/>
      </c>
      <c r="C23" s="16" t="inlineStr">
        <is>
          <t>Othman</t>
        </is>
      </c>
      <c r="D23" s="16" t="n">
        <v>23</v>
      </c>
      <c r="E23" s="16" t="inlineStr">
        <is>
          <t>Epic</t>
        </is>
      </c>
      <c r="F23" s="16" t="inlineStr">
        <is>
          <t>ERP architecture</t>
        </is>
      </c>
      <c r="G23" s="17" t="inlineStr">
        <is>
          <t>Reposition Coreon EDU as a genuine ERP</t>
        </is>
      </c>
      <c r="H23" s="16" t="inlineStr">
        <is>
          <t>The overall direction: move the product from its current state to a real ERP system.</t>
        </is>
      </c>
      <c r="I23" s="16" t="inlineStr">
        <is>
          <t>The parent decision that CR-016 through CR-019 all serve.</t>
        </is>
      </c>
      <c r="J23" s="16" t="inlineStr">
        <is>
          <t>All modules</t>
        </is>
      </c>
      <c r="K23" s="16" t="inlineStr">
        <is>
          <t>Global</t>
        </is>
      </c>
      <c r="L23" s="16" t="inlineStr">
        <is>
          <t>all</t>
        </is>
      </c>
      <c r="M23" s="16" t="inlineStr">
        <is>
          <t>P1 - Immediate</t>
        </is>
      </c>
      <c r="N23" s="16" t="inlineStr">
        <is>
          <t>XL</t>
        </is>
      </c>
      <c r="O23" s="16" t="inlineStr">
        <is>
          <t>NEW</t>
        </is>
      </c>
      <c r="P23" s="16" t="inlineStr"/>
      <c r="Q23" s="16" t="inlineStr"/>
      <c r="R23" s="16" t="inlineStr">
        <is>
          <t>A written definition of what 'real ERP' means for Coreon: departments, double-entry accounting, documented identity and numbering, audit trail, separation of duties, and period closing. A gap analysis lists what exists today against that definition, and every child CR traces back to it.</t>
        </is>
      </c>
      <c r="S23" s="16" t="inlineStr"/>
      <c r="T23" s="16" t="inlineStr">
        <is>
          <t>SPÉCIFIÉ (plus bloqué par la recherche) : voir docs/quality/role-model.md §7 pour le backlog concret. Reste un chantier de plusieurs semaines qui touche le modèle de données — à planifier avec Othman.   |  PLAN 2026-07-23 : docs/quality/erp-epics-plan.md — séquencement (CR-017 d'abord, faible risque ; CR-018 après un 2ᵉ marché) + 3 décisions à prendre (D-1 portée « vrai ERP », D-2 Person avant pilote ?, D-3 partie double ?). Rien n'est lancé : attend la décision d'Othman.</t>
        </is>
      </c>
    </row>
    <row r="24" ht="108" customHeight="1">
      <c r="A24" s="16" t="inlineStr">
        <is>
          <t>CR-022</t>
        </is>
      </c>
      <c r="B24" s="16">
        <f>TODAY()</f>
        <v/>
      </c>
      <c r="C24" s="16" t="inlineStr">
        <is>
          <t>Othman</t>
        </is>
      </c>
      <c r="D24" s="16" t="n">
        <v>24</v>
      </c>
      <c r="E24" s="16" t="inlineStr">
        <is>
          <t>New feature</t>
        </is>
      </c>
      <c r="F24" s="16" t="inlineStr">
        <is>
          <t>Academic</t>
        </is>
      </c>
      <c r="G24" s="17" t="inlineStr">
        <is>
          <t>Let a teacher grade a whole class in one screen</t>
        </is>
      </c>
      <c r="H24" s="16" t="inlineStr">
        <is>
          <t>In Bulletins &amp; passage, a teacher should be able to enter marks for the entire class across subjects (Mathématiques, Français, Arabe, Éveil scientifique, Anglais, each out of 20) rather than one pupil at a time.</t>
        </is>
      </c>
      <c r="I24" s="16" t="inlineStr">
        <is>
          <t>Entering marks pupil by pupil is the single most repetitive task a teacher does; it is where the product either saves time or wastes it.</t>
        </is>
      </c>
      <c r="J24" s="16" t="inlineStr">
        <is>
          <t>Academic</t>
        </is>
      </c>
      <c r="K24" s="16" t="inlineStr">
        <is>
          <t>#/app/academic</t>
        </is>
      </c>
      <c r="L24" s="16" t="inlineStr">
        <is>
          <t>teacher, schooladmin, admin</t>
        </is>
      </c>
      <c r="M24" s="16" t="inlineStr">
        <is>
          <t>P1 - Immediate</t>
        </is>
      </c>
      <c r="N24" s="16" t="inlineStr">
        <is>
          <t>L</t>
        </is>
      </c>
      <c r="O24" s="21" t="inlineStr">
        <is>
          <t>DONE</t>
        </is>
      </c>
      <c r="P24" s="16" t="inlineStr">
        <is>
          <t>2026-07-23</t>
        </is>
      </c>
      <c r="Q24" s="16" t="inlineStr"/>
      <c r="R24" s="16" t="inlineStr">
        <is>
          <t>A grid shows pupils as rows and subjects as columns. Keyboard entry moves down the column. Marks are validated against the subject maximum. Partial entry can be saved and resumed. The subject list follows the level, and totals recalculate live.</t>
        </is>
      </c>
      <c r="S24" s="16" t="inlineStr"/>
      <c r="T24" s="16" t="inlineStr">
        <is>
          <t>Grille de saisie des notes par classe, au clavier, moyennes en direct. Déployé.</t>
        </is>
      </c>
    </row>
    <row r="25" ht="118" customHeight="1">
      <c r="A25" s="16" t="inlineStr">
        <is>
          <t>CR-023</t>
        </is>
      </c>
      <c r="B25" s="16" t="inlineStr">
        <is>
          <t>2026-07-23</t>
        </is>
      </c>
      <c r="C25" s="16" t="inlineStr">
        <is>
          <t>Othman</t>
        </is>
      </c>
      <c r="D25" s="16" t="n">
        <v>1</v>
      </c>
      <c r="E25" s="16" t="inlineStr">
        <is>
          <t>Enhancement</t>
        </is>
      </c>
      <c r="F25" s="16" t="inlineStr">
        <is>
          <t>Internationalisation</t>
        </is>
      </c>
      <c r="G25" s="17" t="inlineStr">
        <is>
          <t>Marchés cibles : 4 pays + structure géographique Pays → Ville → École</t>
        </is>
      </c>
      <c r="H25" s="16" t="inlineStr">
        <is>
          <t>Restreindre aux 4 marchés de lancement (Bahreïn, Qatar, Tunisie, Libye) au lieu d’un support mondial générique. Cascade Pays → Ville → École : on choisit un pays, le système charge SES villes, on choisit une ville, on configure l’école. Aucune saisie libre de pays/ville. Données pays/villes en données de référence, extensibles.</t>
        </is>
      </c>
      <c r="I25" s="16" t="inlineStr">
        <is>
          <t>Un acheteur du Golfe doit voir SON pays et SES villes, pas une liste mondiale ni la Tunisie par défaut. C’est ce qui rend la démo crédible pour Bahreïn/Qatar/Libye.</t>
        </is>
      </c>
      <c r="J25" s="16" t="inlineStr">
        <is>
          <t>Paramètres · Onboarding · Console plateforme</t>
        </is>
      </c>
      <c r="K25" s="16" t="inlineStr">
        <is>
          <t>#/app/settings · #/app/schools</t>
        </is>
      </c>
      <c r="L25" s="16" t="inlineStr">
        <is>
          <t>owner, schooladmin</t>
        </is>
      </c>
      <c r="M25" s="23" t="inlineStr">
        <is>
          <t>P1 - Immediate</t>
        </is>
      </c>
      <c r="N25" s="16" t="inlineStr">
        <is>
          <t>M</t>
        </is>
      </c>
      <c r="O25" s="21" t="inlineStr">
        <is>
          <t>DONE</t>
        </is>
      </c>
      <c r="P25" s="16" t="inlineStr">
        <is>
          <t>5123df2 · 2026-07-23</t>
        </is>
      </c>
      <c r="Q25" s="16" t="inlineStr">
        <is>
          <t>CR-004/005 (packs pays — FAIT), CR-017 (code école — FAIT)</t>
        </is>
      </c>
      <c r="R25" s="16" t="inlineStr">
        <is>
          <t>Prolonge directement core/src/locales.js : remplacer les packs de démo FR/INTL par BH/QA/TN/LY + ajouter les villes. Faisable tout de suite, faible risque, fort impact démo. À FAIRE MAINTENANT.</t>
        </is>
      </c>
      <c r="S25" s="16" t="inlineStr"/>
      <c r="T25" s="16" t="inlineStr">
        <is>
          <t>LIVRÉ. 4 pays (BH/QA/TN/LY) avec devise, code ISO, pièce d’identité et cadre légal locaux. Villes en données de référence, cascade Pays→Ville dans les Paramètres. La référence ERP porte le code pays (STD-LY-…). Ajouter un pays = un objet dans locales.js.</t>
        </is>
      </c>
    </row>
    <row r="26" ht="118" customHeight="1">
      <c r="A26" s="16" t="inlineStr">
        <is>
          <t>CR-024</t>
        </is>
      </c>
      <c r="B26" s="16" t="inlineStr">
        <is>
          <t>2026-07-23</t>
        </is>
      </c>
      <c r="C26" s="16" t="inlineStr">
        <is>
          <t>Othman</t>
        </is>
      </c>
      <c r="D26" s="16" t="n">
        <v>2</v>
      </c>
      <c r="E26" s="16" t="inlineStr">
        <is>
          <t>Epic</t>
        </is>
      </c>
      <c r="F26" s="16" t="inlineStr">
        <is>
          <t>ERP architecture</t>
        </is>
      </c>
      <c r="G26" s="17" t="inlineStr">
        <is>
          <t>Couche de configuration par pays (langue + système éducatif), un seul cœur</t>
        </is>
      </c>
      <c r="H26" s="16" t="inlineStr">
        <is>
          <t>Un cœur ERP unique + des modules de configuration par pays (countries/{bahrain,qatar,tunisia,libye}). Chaque pays personnalise : langues (ordre primaire/secondaire), système éducatif (niveaux, matières, méthode d’évaluation, terminologie, structure de l’année). L’activation d’une école charge la bonne config. JAMAIS 4 bases de code.</t>
        </is>
      </c>
      <c r="I26" s="16" t="inlineStr">
        <is>
          <t>Chaque école doit sentir qu’elle a un ERP local conçu pour SON système éducatif, pas un produit étranger traduit. C’est l’argument de vente régional.</t>
        </is>
      </c>
      <c r="J26" s="16" t="inlineStr">
        <is>
          <t>Tout le produit</t>
        </is>
      </c>
      <c r="K26" s="16" t="inlineStr">
        <is>
          <t>Global</t>
        </is>
      </c>
      <c r="L26" s="16" t="inlineStr">
        <is>
          <t>owner, schooladmin</t>
        </is>
      </c>
      <c r="M26" s="22" t="inlineStr">
        <is>
          <t>P2 - High</t>
        </is>
      </c>
      <c r="N26" s="16" t="inlineStr">
        <is>
          <t>XL</t>
        </is>
      </c>
      <c r="O26" s="21" t="inlineStr">
        <is>
          <t>DONE</t>
        </is>
      </c>
      <c r="P26" s="16" t="inlineStr">
        <is>
          <t>2026-07-23</t>
        </is>
      </c>
      <c r="Q26" s="16" t="inlineStr">
        <is>
          <t>CR-023 (pays), CR-016/020 (modèle de rôles — FAIT)</t>
        </is>
      </c>
      <c r="R26" s="16" t="inlineStr">
        <is>
          <t>À DÉCOUPER. La couche LANGUE existe déjà (i18n + packs pays) → activable vite. La couche CURRICULUM (niveaux/matières/évaluation/terminologie par pays) est le gros œuvre ERP : la faire pays par pays, à mesure que tu signes chaque marché. Ne PAS tout construire d’un coup.</t>
        </is>
      </c>
      <c r="S26" s="16" t="inlineStr"/>
      <c r="T26" s="16" t="inlineStr">
        <is>
          <t>LIVRÉ. Couche curriculum par pays : matières + barème (/20 Tunisie, /100 Golfe) + échelle de mentions, dans locales.js. La grille de notes affiche le bon barème selon le pays. Ajouter un pays = un objet curriculum de plus. La terminologie fine se peaufine par marché.</t>
        </is>
      </c>
    </row>
    <row r="27" ht="120" customHeight="1">
      <c r="A27" s="16" t="inlineStr">
        <is>
          <t>CR-025</t>
        </is>
      </c>
      <c r="B27" s="16" t="inlineStr">
        <is>
          <t>2026-07-23</t>
        </is>
      </c>
      <c r="C27" s="16" t="inlineStr">
        <is>
          <t>Othman</t>
        </is>
      </c>
      <c r="D27" s="16" t="n">
        <v>3</v>
      </c>
      <c r="E27" s="16" t="inlineStr">
        <is>
          <t>Epic</t>
        </is>
      </c>
      <c r="F27" s="16" t="inlineStr">
        <is>
          <t>ERP architecture</t>
        </is>
      </c>
      <c r="G27" s="17" t="inlineStr">
        <is>
          <t>La « Bible » d’architecture produit + références ERP à étudier</t>
        </is>
      </c>
      <c r="H27" s="16" t="inlineStr">
        <is>
          <t>Constitution du produit : plateforme ERP régionale multi-pays / multi-tenant / multi-école / multi-langue (un seul cœur + config par pays). Deux identités (référence ERP vs identité humaine). API-first web+mobile. Sécurité (RBAC, isolation tenant, audit). Prêt IA. + références à étudier (ERPNext Education, Odoo, SAP/NetSuite/Dynamics) pour les PATTERNS, pas les interfaces.</t>
        </is>
      </c>
      <c r="I27" s="16" t="inlineStr">
        <is>
          <t>Empêcher les sessions futures d’abîmer l’architecture peu à peu. Chaque changement se vérifie contre la Bible.</t>
        </is>
      </c>
      <c r="J27" s="16" t="inlineStr">
        <is>
          <t>Tout le produit</t>
        </is>
      </c>
      <c r="K27" s="16" t="inlineStr">
        <is>
          <t>docs/quality/ARCHITECTURE-BIBLE.md</t>
        </is>
      </c>
      <c r="L27" s="16" t="inlineStr">
        <is>
          <t>owner</t>
        </is>
      </c>
      <c r="M27" s="16" t="inlineStr">
        <is>
          <t>P1 - Immediate</t>
        </is>
      </c>
      <c r="N27" s="16" t="inlineStr">
        <is>
          <t>—</t>
        </is>
      </c>
      <c r="O27" s="21" t="inlineStr">
        <is>
          <t>DONE</t>
        </is>
      </c>
      <c r="P27" s="16" t="inlineStr">
        <is>
          <t>5123df2 · 2026-07-23</t>
        </is>
      </c>
      <c r="Q27" s="16" t="inlineStr">
        <is>
          <t>CR-004/005/016/017/018/020/023 (déjà faits)</t>
        </is>
      </c>
      <c r="R27" s="16" t="inlineStr">
        <is>
          <t>LIVRÉ : docs/quality/ARCHITECTURE-BIBLE.md — la constitution, avec le tableau ÉTAT vs CIBLE (§11), la règle « classer avant de coder » (§12), le séquencement vers la vente (§13) et les références étudiées (§10). À ouvrir avant toute décision d’architecture.</t>
        </is>
      </c>
      <c r="S27" s="16" t="inlineStr"/>
      <c r="T27" s="16" t="inlineStr"/>
    </row>
    <row r="28" ht="120" customHeight="1">
      <c r="A28" s="16" t="inlineStr">
        <is>
          <t>CR-026</t>
        </is>
      </c>
      <c r="B28" s="16" t="inlineStr">
        <is>
          <t>2026-07-23</t>
        </is>
      </c>
      <c r="C28" s="16" t="inlineStr">
        <is>
          <t>Othman</t>
        </is>
      </c>
      <c r="D28" s="16" t="n">
        <v>0</v>
      </c>
      <c r="E28" s="16" t="inlineStr">
        <is>
          <t>Research</t>
        </is>
      </c>
      <c r="F28" s="16" t="inlineStr">
        <is>
          <t>ERP architecture</t>
        </is>
      </c>
      <c r="G28" s="17" t="inlineStr">
        <is>
          <t>Analyse d’écart vs ERP éducatifs professionnels (+ priorités Golfe)</t>
        </is>
      </c>
      <c r="H28" s="16" t="inlineStr">
        <is>
          <t>Étudier les références fournies (ERPNext/Odoo Education, SAP/NetSuite/Dynamics, ERP scolaires du commerce) et découvrir ce qu’on n’a pas encore bâti. Focus marché : Bahreïn/Qatar.</t>
        </is>
      </c>
      <c r="I28" s="16" t="inlineStr">
        <is>
          <t>Savoir exactement ce qui manque pour vendre au Golfe, et distinguer un bloqueur d’un confort.</t>
        </is>
      </c>
      <c r="J28" s="16" t="inlineStr">
        <is>
          <t>Tout le produit</t>
        </is>
      </c>
      <c r="K28" s="16" t="inlineStr">
        <is>
          <t>docs/quality/gap-analysis.md</t>
        </is>
      </c>
      <c r="L28" s="16" t="inlineStr">
        <is>
          <t>owner</t>
        </is>
      </c>
      <c r="M28" s="16" t="inlineStr">
        <is>
          <t>P1 - Immediate</t>
        </is>
      </c>
      <c r="N28" s="16" t="inlineStr">
        <is>
          <t>—</t>
        </is>
      </c>
      <c r="O28" s="21" t="inlineStr">
        <is>
          <t>DONE</t>
        </is>
      </c>
      <c r="P28" s="16" t="inlineStr">
        <is>
          <t>2026-07-23</t>
        </is>
      </c>
      <c r="Q28" s="16" t="inlineStr">
        <is>
          <t>CR-025 (Bible)</t>
        </is>
      </c>
      <c r="R28" s="16" t="inlineStr">
        <is>
          <t>LIVRÉ : docs/quality/gap-analysis.md — 3 axes de recherche synthétisés. TIER-1 bloqueurs Golfe : passerelle de paiement régionale, transport+GPS, facturation TVA, calendrier Hijri, reporting Ministère. + manques d’architecture (journal d’audit, isolation tenant, moteur de workflow, reporting à dimensions) et de modèle académique (Grading Scale, Programme›Cours, Assessment Plan, Fee Structure). Séquencement vers la vente au §6. Reporté dans la Bible.</t>
        </is>
      </c>
      <c r="S28" s="16" t="inlineStr"/>
      <c r="T28" s="16" t="inlineStr"/>
    </row>
    <row r="29">
      <c r="A29" s="16" t="inlineStr">
        <is>
          <t>CR-027</t>
        </is>
      </c>
      <c r="B29" s="16" t="inlineStr">
        <is>
          <t>2026-07-23</t>
        </is>
      </c>
      <c r="C29" s="16" t="inlineStr">
        <is>
          <t>Othman</t>
        </is>
      </c>
      <c r="D29" s="16" t="inlineStr">
        <is>
          <t>—</t>
        </is>
      </c>
      <c r="E29" s="16" t="inlineStr">
        <is>
          <t>Security</t>
        </is>
      </c>
      <c r="F29" s="16" t="inlineStr">
        <is>
          <t>ERP architecture / Role model</t>
        </is>
      </c>
      <c r="G29" s="16" t="inlineStr">
        <is>
          <t>Imposer la séparation : retirer RH &amp; Comptabilité au compte Administration</t>
        </is>
      </c>
      <c r="H29" s="16" t="n"/>
      <c r="I29" s="16" t="inlineStr">
        <is>
          <t>La séparation des tâches est le fondement d'un vrai ERP et du contrôle interne ; sans elle CR-019 n'était que cosmétique.</t>
        </is>
      </c>
      <c r="J29" s="16" t="inlineStr">
        <is>
          <t>Access control</t>
        </is>
      </c>
      <c r="K29" s="16" t="inlineStr">
        <is>
          <t>/app/hr · /app/accounting · /app/finance · /app/budget · /app/staff · /app/recruit</t>
        </is>
      </c>
      <c r="L29" s="16" t="inlineStr">
        <is>
          <t>admin, hr, accountant, schooladmin</t>
        </is>
      </c>
      <c r="M29" s="16" t="inlineStr">
        <is>
          <t>P1 - Immediate</t>
        </is>
      </c>
      <c r="N29" s="16" t="inlineStr">
        <is>
          <t>S</t>
        </is>
      </c>
      <c r="O29" s="16" t="inlineStr">
        <is>
          <t>DONE</t>
        </is>
      </c>
      <c r="P29" s="16" t="inlineStr">
        <is>
          <t>2026-07-23</t>
        </is>
      </c>
      <c r="Q29" s="16" t="n"/>
      <c r="R29" s="16" t="n"/>
      <c r="S29" s="16" t="n"/>
      <c r="T29" s="16" t="inlineStr">
        <is>
          <t>LIVRÉ 2026-07-23. Retiré de access.js ET nav.js (routes) ; acl.js : admin passe de '*' à « tout sauf RH &amp; argent » (HR_MONEY_COLLECTIONS) côté serveur. 3 tests d'exécution + 2 checks smoke-prod. Reste (chantier profondeur) : maker-checker + strip lecture admin — voir hr-accounting-module-spec.md §2/§5.</t>
        </is>
      </c>
    </row>
    <row r="30">
      <c r="A30" s="16" t="inlineStr">
        <is>
          <t>CR-028</t>
        </is>
      </c>
      <c r="B30" s="16" t="inlineStr">
        <is>
          <t>2026-07-23</t>
        </is>
      </c>
      <c r="C30" s="16" t="inlineStr">
        <is>
          <t>Othman</t>
        </is>
      </c>
      <c r="D30" s="16" t="inlineStr">
        <is>
          <t>—</t>
        </is>
      </c>
      <c r="E30" s="16" t="inlineStr">
        <is>
          <t>Epic</t>
        </is>
      </c>
      <c r="F30" s="16" t="inlineStr">
        <is>
          <t>ERP architecture / HR</t>
        </is>
      </c>
      <c r="G30" s="16" t="inlineStr">
        <is>
          <t>Module RH : passer du squelette à un vrai module (recherche + profondeur)</t>
        </is>
      </c>
      <c r="H30" s="16" t="n"/>
      <c r="I30" s="16" t="inlineStr">
        <is>
          <t>La paie est le bloqueur Golfe (WPS, EOSB, salaire multi-composants) ; un ERP scolaire sans vraie RH ne se vend pas au-delà d'une crèche.</t>
        </is>
      </c>
      <c r="J30" s="16" t="inlineStr">
        <is>
          <t>HR</t>
        </is>
      </c>
      <c r="K30" s="16" t="inlineStr">
        <is>
          <t>/app/hr · /app/staff · /app/recruit</t>
        </is>
      </c>
      <c r="L30" s="16" t="inlineStr">
        <is>
          <t>hr, schooladmin</t>
        </is>
      </c>
      <c r="M30" s="16" t="inlineStr">
        <is>
          <t>P2 - High</t>
        </is>
      </c>
      <c r="N30" s="16" t="inlineStr">
        <is>
          <t>XL</t>
        </is>
      </c>
      <c r="O30" s="16" t="inlineStr">
        <is>
          <t>IN PROGRESS</t>
        </is>
      </c>
      <c r="P30" s="16" t="inlineStr"/>
      <c r="Q30" s="16" t="n"/>
      <c r="R30" s="16" t="n"/>
      <c r="S30" s="16" t="n"/>
      <c r="T30" s="16" t="inlineStr">
        <is>
          <t>Volet 1 livré 2026-07-25 (85fb30d) : salaire multi-composants, bulletin de paie, maker-checker.</t>
        </is>
      </c>
    </row>
    <row r="31">
      <c r="A31" s="16" t="inlineStr">
        <is>
          <t>CR-029</t>
        </is>
      </c>
      <c r="B31" s="16" t="inlineStr">
        <is>
          <t>2026-07-23</t>
        </is>
      </c>
      <c r="C31" s="16" t="inlineStr">
        <is>
          <t>Othman</t>
        </is>
      </c>
      <c r="D31" s="16" t="inlineStr">
        <is>
          <t>—</t>
        </is>
      </c>
      <c r="E31" s="16" t="inlineStr">
        <is>
          <t>Epic</t>
        </is>
      </c>
      <c r="F31" s="16" t="inlineStr">
        <is>
          <t>ERP architecture / Accounting</t>
        </is>
      </c>
      <c r="G31" s="16" t="inlineStr">
        <is>
          <t>Module Comptabilité : socle comptable réel (recherche + profondeur)</t>
        </is>
      </c>
      <c r="H31" s="16" t="n"/>
      <c r="I31" s="16" t="inlineStr">
        <is>
          <t>Sans plan comptable, grand livre, balance/bilan et clôture, ce n'est pas de la comptabilité ; TVA + paiement en ligne = bloqueurs Golfe.</t>
        </is>
      </c>
      <c r="J31" s="16" t="inlineStr">
        <is>
          <t>Accounting</t>
        </is>
      </c>
      <c r="K31" s="16" t="inlineStr">
        <is>
          <t>/app/accounting · /app/finance · /app/budget</t>
        </is>
      </c>
      <c r="L31" s="16" t="inlineStr">
        <is>
          <t>accountant, schooladmin</t>
        </is>
      </c>
      <c r="M31" s="16" t="inlineStr">
        <is>
          <t>P2 - High</t>
        </is>
      </c>
      <c r="N31" s="16" t="inlineStr">
        <is>
          <t>XL</t>
        </is>
      </c>
      <c r="O31" s="16" t="inlineStr">
        <is>
          <t>NEW</t>
        </is>
      </c>
      <c r="P31" s="16" t="inlineStr"/>
      <c r="Q31" s="16" t="n"/>
      <c r="R31" s="16" t="n"/>
      <c r="S31" s="16" t="n"/>
      <c r="T31" s="16" t="inlineStr">
        <is>
          <t>SPÉCIFIÉ 2026-07-23 : docs/quality/hr-accounting-module-spec.md §4 (recherche ERPNext/Tally/iSAMS/Edunext). La partie double = décision D-3 du plan des épics. Gap actuel : simple entrée, pas de plan comptable ni balance/bilan, pas d'AP, pas de rapprochement, pas de clôture.</t>
        </is>
      </c>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row>
    <row r="145">
      <c r="A145" t="inlineStr">
        <is>
          <t>CR-030</t>
        </is>
      </c>
      <c r="B145" t="inlineStr">
        <is>
          <t>2026-07-25</t>
        </is>
      </c>
      <c r="C145" t="inlineStr">
        <is>
          <t>Othman</t>
        </is>
      </c>
      <c r="E145" t="inlineStr">
        <is>
          <t>Enhancement</t>
        </is>
      </c>
      <c r="F145" t="inlineStr">
        <is>
          <t>Produit réel</t>
        </is>
      </c>
      <c r="G145" t="inlineStr">
        <is>
          <t>Retirer le concept « démo » du produit</t>
        </is>
      </c>
      <c r="H145" t="inlineStr">
        <is>
          <t>C'est un produit réel maintenant, pas une démonstration. Toute mention démo disparaît de l'interface (web + mobile).</t>
        </is>
      </c>
      <c r="J145" t="inlineStr">
        <is>
          <t>Tout le produit</t>
        </is>
      </c>
      <c r="O145" t="inlineStr">
        <is>
          <t>DONE</t>
        </is>
      </c>
      <c r="T145" t="inlineStr">
        <is>
          <t>Livré 2026-07-25 : CTA « Essai gratuit », « École d'exemple », « Journée simulée » ; i18n AR alignée ; 18/18 e2e verts.</t>
        </is>
      </c>
    </row>
    <row r="146">
      <c r="A146" t="inlineStr">
        <is>
          <t>CR-031</t>
        </is>
      </c>
      <c r="B146" t="inlineStr">
        <is>
          <t>2026-07-25</t>
        </is>
      </c>
      <c r="C146" t="inlineStr">
        <is>
          <t>Othman</t>
        </is>
      </c>
      <c r="E146" t="inlineStr">
        <is>
          <t>Epic</t>
        </is>
      </c>
      <c r="F146" t="inlineStr">
        <is>
          <t>Environnements</t>
        </is>
      </c>
      <c r="G146" t="inlineStr">
        <is>
          <t>3 environnements GitHub : dev / int / prod</t>
        </is>
      </c>
      <c r="H146" t="inlineStr">
        <is>
          <t>prod = ce que les clients reçoivent ; int = modifications client ; dev = développement. À créer à la préparation de la version finale.</t>
        </is>
      </c>
      <c r="J146" t="inlineStr">
        <is>
          <t>Dépôt / CI</t>
        </is>
      </c>
      <c r="O146" t="inlineStr">
        <is>
          <t>DONE</t>
        </is>
      </c>
      <c r="T146" t="inlineStr">
        <is>
          <t>Plan écrit : docs/operations/environments.md. Déclenché par « version finale ». · EN PLACE 2026-07-25 (version finale déclarée, 1er client BH) : branches dev/int + main=prod ; dev.edu + int.edu (Cloudflare Pages) ; envs.yml (dev rapide, int chaîne complète) ; environnements GitHub + protection main (checks requis) ; branche par défaut = dev ; secrets Cloudflare posés.</t>
        </is>
      </c>
    </row>
    <row r="147">
      <c r="A147" t="inlineStr">
        <is>
          <t>CR-032</t>
        </is>
      </c>
      <c r="B147" t="inlineStr">
        <is>
          <t>2026-07-25</t>
        </is>
      </c>
      <c r="C147" t="inlineStr">
        <is>
          <t>Othman</t>
        </is>
      </c>
      <c r="E147" t="inlineStr">
        <is>
          <t>Epic</t>
        </is>
      </c>
      <c r="F147" t="inlineStr">
        <is>
          <t>Versions pays</t>
        </is>
      </c>
      <c r="G147" t="inlineStr">
        <is>
          <t>4 versions produit : Bahreïn, Tunisie, Qatar, Libye</t>
        </is>
      </c>
      <c r="H147" t="inlineStr">
        <is>
          <t>Le cadre permanent du produit. La couche pays existe (locales.js, CR-023/024) ; compléter curriculum/fériés/conformité par pays.</t>
        </is>
      </c>
      <c r="J147" t="inlineStr">
        <is>
          <t>Couche pays</t>
        </is>
      </c>
      <c r="O147" t="inlineStr">
        <is>
          <t>IN PROGRESS</t>
        </is>
      </c>
      <c r="T147" t="inlineStr">
        <is>
          <t>BH/QA/TN/LY présents dans locales.js ; manques Tier-1 par pays dans gap-analysis.md. · Volet fériés+hégirien livré 2026-07-25 : calendriers fériés par pays (FERIES_PAR_PAYS BH/QA/TN/LY, fetes.js suit locales.js) + date hégirienne Umm al-Qura native (Intl, zéro dép.) affichée BH/QA/LY (FeteCorner) ; i18n AR étendue ; 100/100 tests cœur. · Volet 2 livré 2026-07-26 : SEMAINE du pays (BH/QA/LY dim–jeu, week-end ven-sam — présence, emploi du temps, direct, cantine, paie), numéros d URGENCE du pays (999), pièce d identité par pack sur tous les écrans (CPR), documents officiels sans « Tunisie » en dur, alerte allergie FR/EN/AR, matières et météo du Golfe, assistant fondateur pays/langue + purge démo (école réelle).</t>
        </is>
      </c>
    </row>
    <row r="148">
      <c r="A148" t="inlineStr">
        <is>
          <t>CR-033</t>
        </is>
      </c>
      <c r="B148" t="inlineStr">
        <is>
          <t>2026-07-25</t>
        </is>
      </c>
      <c r="C148" t="inlineStr">
        <is>
          <t>Othman</t>
        </is>
      </c>
      <c r="E148" t="inlineStr">
        <is>
          <t>New feature</t>
        </is>
      </c>
      <c r="F148" t="inlineStr">
        <is>
          <t>Documentation produit</t>
        </is>
      </c>
      <c r="G148" t="inlineStr">
        <is>
          <t>Catalogue produit Excel : tous les éléments décrits</t>
        </is>
      </c>
      <c r="H148" t="inlineStr">
        <is>
          <t>Modules, services, rôles, comptes, pays, intégrations — web et mobile sur la même ligne.</t>
        </is>
      </c>
      <c r="J148" t="inlineStr">
        <is>
          <t>docs/quality</t>
        </is>
      </c>
      <c r="O148" t="inlineStr">
        <is>
          <t>DONE</t>
        </is>
      </c>
      <c r="T148" t="inlineStr">
        <is>
          <t>Livré 2026-07-25 : Coreon-EDU_Product-Catalog.xlsx + générateur build-product-catalog.py (régénérable du code).</t>
        </is>
      </c>
    </row>
    <row r="149">
      <c r="A149" t="inlineStr">
        <is>
          <t>CR-034</t>
        </is>
      </c>
      <c r="B149" t="inlineStr">
        <is>
          <t>2026-07-25</t>
        </is>
      </c>
      <c r="C149" t="inlineStr">
        <is>
          <t>Othman</t>
        </is>
      </c>
      <c r="E149" t="inlineStr">
        <is>
          <t>Epic</t>
        </is>
      </c>
      <c r="F149" t="inlineStr">
        <is>
          <t>Intégrations</t>
        </is>
      </c>
      <c r="G149" t="inlineStr">
        <is>
          <t>Porte d'intégration système (import des données client)</t>
        </is>
      </c>
      <c r="H149" t="inlineStr">
        <is>
          <t>La porte par laquelle un client apporte SES données : import OneRoster/CSV guidé (correspondance de colonnes, validation, rapport), puis API REST + webhooks.</t>
        </is>
      </c>
      <c r="J149" t="inlineStr">
        <is>
          <t>Intégrations</t>
        </is>
      </c>
      <c r="O149" t="inlineStr">
        <is>
          <t>IN PROGRESS</t>
        </is>
      </c>
      <c r="T149" t="inlineStr">
        <is>
          <t>Demandé 2026-07-25. Après : l'hébergement backend. Export OneRoster + import JSON serveur existent déjà. · Volet 1 livré 2026-07-25 : import CSV guidé /app/import (élèves+parents, personnel ; en-têtes FR/EN/AR/OneRoster ; rapprochement auto, validation, répétition générale, doublons=màj, annulation par photographie, journal des imports, identifiants provisoires) + docs/INTEGRATION.md. Reste : import serveur jour J (existe), API REST/webhooks après hébergement.</t>
        </is>
      </c>
    </row>
    <row r="150">
      <c r="A150" t="inlineStr">
        <is>
          <t>CR-035</t>
        </is>
      </c>
      <c r="B150" t="inlineStr">
        <is>
          <t>2026-07-26</t>
        </is>
      </c>
      <c r="C150" t="inlineStr">
        <is>
          <t>Othman</t>
        </is>
      </c>
      <c r="E150" t="inlineStr">
        <is>
          <t>Epic</t>
        </is>
      </c>
      <c r="F150" t="inlineStr">
        <is>
          <t>Gouvernance / provisionnement</t>
        </is>
      </c>
      <c r="G150" t="inlineStr">
        <is>
          <t>Le PAYS appartient à Kogia Group, pas à la direction</t>
        </is>
      </c>
      <c r="H150" t="inlineStr">
        <is>
          <t>La direction gère son école, pas le contrat : pays/devise/langue par défaut se fixent au provisionnement par le compte Kogia Group ; l’école ne peut pas les changer.</t>
        </is>
      </c>
      <c r="M150" t="inlineStr">
        <is>
          <t>P0 - Blocker</t>
        </is>
      </c>
      <c r="N150" t="inlineStr">
        <is>
          <t>M</t>
        </is>
      </c>
      <c r="O150" t="inlineStr">
        <is>
          <t>DONE</t>
        </is>
      </c>
      <c r="T150" t="inlineStr">
        <is>
          <t>Livré 2026-07-26 : Localisation VERROUILLÉE pour la direction (note support), owner peut la modifier ; Setup pareil ; console Écoles = provisionnement réel (Pays au contrat, identifiants provisoires affichés UNE fois — fin du « identifiants envoyés » mensonger, mot de passe en clair retiré). Verrouillage serveur = avec l’hébergement.</t>
        </is>
      </c>
    </row>
    <row r="151">
      <c r="A151" t="inlineStr">
        <is>
          <t>CR-036</t>
        </is>
      </c>
      <c r="B151" t="inlineStr">
        <is>
          <t>2026-07-26</t>
        </is>
      </c>
      <c r="C151" t="inlineStr">
        <is>
          <t>Othman</t>
        </is>
      </c>
      <c r="E151" t="inlineStr">
        <is>
          <t>Epic</t>
        </is>
      </c>
      <c r="F151" t="inlineStr">
        <is>
          <t>i18n</t>
        </is>
      </c>
      <c r="G151" t="inlineStr">
        <is>
          <t>Anglais : troisième langue du produit</t>
        </is>
      </c>
      <c r="H151" t="inlineStr">
        <is>
          <t>Le Bahreïn travaille en anglais — il n’y avait pas d’anglais du tout.</t>
        </is>
      </c>
      <c r="M151" t="inlineStr">
        <is>
          <t>P1 - High</t>
        </is>
      </c>
      <c r="N151" t="inlineStr">
        <is>
          <t>XL</t>
        </is>
      </c>
      <c r="O151" t="inlineStr">
        <is>
          <t>IN PROGRESS</t>
        </is>
      </c>
      <c r="T151" t="inlineStr">
        <is>
          <t>Tranche 1 livrée 2026-07-26 : locale EN + dictionnaire écorce (navigation, sections, rôles, niveaux — nommage Golfe KG1/KG2/Grade 1-6, connexion, coin des fêtes), sélecteur FR·EN·ع, dates en-GB, test de couverture AR+EN. Reste : les pages métier (~38) en EN et en AR, page par page.</t>
        </is>
      </c>
    </row>
  </sheetData>
  <autoFilter ref="A2:T2"/>
  <mergeCells count="1">
    <mergeCell ref="A1:T1"/>
  </mergeCells>
  <conditionalFormatting sqref="M3:M224">
    <cfRule type="cellIs" priority="1" operator="equal" dxfId="1">
      <formula>"P1 - Immediate"</formula>
    </cfRule>
    <cfRule type="cellIs" priority="2" operator="equal" dxfId="2">
      <formula>"P2 - High"</formula>
    </cfRule>
  </conditionalFormatting>
  <conditionalFormatting sqref="O3:O224">
    <cfRule type="cellIs" priority="3" operator="equal" dxfId="0">
      <formula>"DONE"</formula>
    </cfRule>
    <cfRule type="cellIs" priority="4" operator="equal" dxfId="0">
      <formula>"APPROVED"</formula>
    </cfRule>
    <cfRule type="cellIs" priority="5" operator="equal" dxfId="2">
      <formula>"IN PROGRESS"</formula>
    </cfRule>
    <cfRule type="cellIs" priority="6" operator="equal" dxfId="3">
      <formula>"NEW"</formula>
    </cfRule>
    <cfRule type="cellIs" priority="7" operator="equal" dxfId="3">
      <formula>"TRIAGED"</formula>
    </cfRule>
    <cfRule type="cellIs" priority="8" operator="equal" dxfId="1">
      <formula>"REJECTED"</formula>
    </cfRule>
    <cfRule type="cellIs" priority="9" operator="equal" dxfId="3">
      <formula>"DEFERRED"</formula>
    </cfRule>
  </conditionalFormatting>
  <dataValidations count="5">
    <dataValidation sqref="M3:M224" showDropDown="0" showInputMessage="0" showErrorMessage="0" allowBlank="1" type="list">
      <formula1>=Lists!$C$2:$C$5</formula1>
    </dataValidation>
    <dataValidation sqref="E3:E224" showDropDown="0" showInputMessage="0" showErrorMessage="0" allowBlank="1" type="list">
      <formula1>=Lists!$O$2:$O$7</formula1>
    </dataValidation>
    <dataValidation sqref="O3:O224" showDropDown="0" showInputMessage="0" showErrorMessage="0" allowBlank="1" type="list">
      <formula1>=Lists!$P$2:$P$8</formula1>
    </dataValidation>
    <dataValidation sqref="N3:N224" showDropDown="0" showInputMessage="0" showErrorMessage="0" allowBlank="1" type="list">
      <formula1>=Lists!$Q$2:$Q$6</formula1>
    </dataValidation>
    <dataValidation sqref="L3:L224" showDropDown="0" showInputMessage="0" showErrorMessage="0" allowBlank="1" type="list">
      <formula1>=Lists!$F$2:$F$9</formula1>
    </dataValidation>
  </dataValidations>
  <pageMargins left="0.75" right="0.75" top="1" bottom="1" header="0.5" footer="0.5"/>
</worksheet>
</file>

<file path=xl/worksheets/sheet6.xml><?xml version="1.0" encoding="utf-8"?>
<worksheet xmlns="http://schemas.openxmlformats.org/spreadsheetml/2006/main">
  <sheetPr>
    <tabColor rgb="002F8050"/>
    <outlinePr summaryBelow="1" summaryRight="1"/>
    <pageSetUpPr/>
  </sheetPr>
  <dimension ref="A1:N5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6" customWidth="1" min="2" max="2"/>
    <col width="24" customWidth="1" min="3" max="3"/>
    <col width="34" customWidth="1" min="4" max="4"/>
    <col width="42" customWidth="1" min="5" max="5"/>
    <col width="11" customWidth="1" min="6" max="6"/>
    <col width="14" customWidth="1" min="7" max="7"/>
    <col width="13" customWidth="1" min="8" max="8"/>
    <col width="9" customWidth="1" min="9" max="9"/>
    <col width="9" customWidth="1" min="10" max="10"/>
    <col width="8" customWidth="1" min="11" max="11"/>
    <col width="11" customWidth="1" min="12" max="12"/>
    <col width="12" customWidth="1" min="13" max="13"/>
    <col width="26" customWidth="1" min="14" max="14"/>
  </cols>
  <sheetData>
    <row r="1" ht="26" customHeight="1">
      <c r="A1" s="13" t="inlineStr">
        <is>
          <t>MODULE INVENTORY — 51 testable surfaces.  Work through them one at a time.  Coverage % fills itself from the Tested / Elements found columns.</t>
        </is>
      </c>
    </row>
    <row r="2" ht="42" customHeight="1">
      <c r="A2" s="14" t="inlineStr">
        <is>
          <t>#</t>
        </is>
      </c>
      <c r="B2" s="14" t="inlineStr">
        <is>
          <t>Module / Feature</t>
        </is>
      </c>
      <c r="C2" s="14" t="inlineStr">
        <is>
          <t>Route (URL)</t>
        </is>
      </c>
      <c r="D2" s="14" t="inlineStr">
        <is>
          <t>Roles that can access</t>
        </is>
      </c>
      <c r="E2" s="14" t="inlineStr">
        <is>
          <t>Notes / risk</t>
        </is>
      </c>
      <c r="F2" s="14" t="inlineStr">
        <is>
          <t>Owner</t>
        </is>
      </c>
      <c r="G2" s="14" t="inlineStr">
        <is>
          <t>Status</t>
        </is>
      </c>
      <c r="H2" s="14" t="inlineStr">
        <is>
          <t>Elements found</t>
        </is>
      </c>
      <c r="I2" s="14" t="inlineStr">
        <is>
          <t>Tested</t>
        </is>
      </c>
      <c r="J2" s="14" t="inlineStr">
        <is>
          <t>Passed</t>
        </is>
      </c>
      <c r="K2" s="14" t="inlineStr">
        <is>
          <t>Failed</t>
        </is>
      </c>
      <c r="L2" s="14" t="inlineStr">
        <is>
          <t>Coverage %</t>
        </is>
      </c>
      <c r="M2" s="14" t="inlineStr">
        <is>
          <t>Last tested</t>
        </is>
      </c>
      <c r="N2" s="14" t="inlineStr">
        <is>
          <t>Comments</t>
        </is>
      </c>
    </row>
    <row r="3">
      <c r="A3" s="16" t="n">
        <v>1</v>
      </c>
      <c r="B3" s="17" t="inlineStr">
        <is>
          <t>Landing page</t>
        </is>
      </c>
      <c r="C3" s="16" t="inlineStr">
        <is>
          <t>#/</t>
        </is>
      </c>
      <c r="D3" s="16" t="inlineStr">
        <is>
          <t>public</t>
        </is>
      </c>
      <c r="E3" s="16" t="inlineStr">
        <is>
          <t>Marketing, 8 CTAs, FAQ accordion</t>
        </is>
      </c>
      <c r="F3" s="16" t="n"/>
      <c r="G3" s="16" t="inlineStr">
        <is>
          <t>Not started</t>
        </is>
      </c>
      <c r="H3" s="16" t="n"/>
      <c r="I3" s="16" t="n"/>
      <c r="J3" s="16" t="n"/>
      <c r="K3" s="16" t="n"/>
      <c r="L3" s="18">
        <f>IF(N(H3)=0,"",J3/H3)</f>
        <v/>
      </c>
      <c r="M3" s="16" t="n"/>
      <c r="N3" s="16" t="n"/>
    </row>
    <row r="4">
      <c r="A4" s="16" t="n">
        <v>2</v>
      </c>
      <c r="B4" s="17" t="inlineStr">
        <is>
          <t>Login</t>
        </is>
      </c>
      <c r="C4" s="16" t="inlineStr">
        <is>
          <t>#/login</t>
        </is>
      </c>
      <c r="D4" s="16" t="inlineStr">
        <is>
          <t>public</t>
        </is>
      </c>
      <c r="E4" s="16" t="inlineStr">
        <is>
          <t>7 demo role buttons, FR/AR switch</t>
        </is>
      </c>
      <c r="F4" s="16" t="n"/>
      <c r="G4" s="16" t="inlineStr">
        <is>
          <t>Not started</t>
        </is>
      </c>
      <c r="H4" s="16" t="n"/>
      <c r="I4" s="16" t="n"/>
      <c r="J4" s="16" t="n"/>
      <c r="K4" s="16" t="n"/>
      <c r="L4" s="18">
        <f>IF(N(H4)=0,"",J4/H4)</f>
        <v/>
      </c>
      <c r="M4" s="16" t="n"/>
      <c r="N4" s="16" t="n"/>
    </row>
    <row r="5">
      <c r="A5" s="16" t="n">
        <v>3</v>
      </c>
      <c r="B5" s="17" t="inlineStr">
        <is>
          <t>Setup wizard</t>
        </is>
      </c>
      <c r="C5" s="16" t="inlineStr">
        <is>
          <t>#/setup</t>
        </is>
      </c>
      <c r="D5" s="16" t="inlineStr">
        <is>
          <t>schooladmin</t>
        </is>
      </c>
      <c r="E5" s="16" t="inlineStr">
        <is>
          <t>First-run; currently outside the auth guard</t>
        </is>
      </c>
      <c r="F5" s="16" t="n"/>
      <c r="G5" s="16" t="inlineStr">
        <is>
          <t>Not started</t>
        </is>
      </c>
      <c r="H5" s="16" t="n"/>
      <c r="I5" s="16" t="n"/>
      <c r="J5" s="16" t="n"/>
      <c r="K5" s="16" t="n"/>
      <c r="L5" s="18">
        <f>IF(N(H5)=0,"",J5/H5)</f>
        <v/>
      </c>
      <c r="M5" s="16" t="n"/>
      <c r="N5" s="16" t="n"/>
    </row>
    <row r="6">
      <c r="A6" s="16" t="n">
        <v>4</v>
      </c>
      <c r="B6" s="17" t="inlineStr">
        <is>
          <t>Pre-enrolment (public)</t>
        </is>
      </c>
      <c r="C6" s="16" t="inlineStr">
        <is>
          <t>#/inscription</t>
        </is>
      </c>
      <c r="D6" s="16" t="inlineStr">
        <is>
          <t>public</t>
        </is>
      </c>
      <c r="E6" s="16" t="inlineStr">
        <is>
          <t>Public form + attachments</t>
        </is>
      </c>
      <c r="F6" s="16" t="n"/>
      <c r="G6" s="16" t="inlineStr">
        <is>
          <t>Not started</t>
        </is>
      </c>
      <c r="H6" s="16" t="n"/>
      <c r="I6" s="16" t="n"/>
      <c r="J6" s="16" t="n"/>
      <c r="K6" s="16" t="n"/>
      <c r="L6" s="18">
        <f>IF(N(H6)=0,"",J6/H6)</f>
        <v/>
      </c>
      <c r="M6" s="16" t="n"/>
      <c r="N6" s="16" t="n"/>
    </row>
    <row r="7">
      <c r="A7" s="16" t="n">
        <v>5</v>
      </c>
      <c r="B7" s="17" t="inlineStr">
        <is>
          <t>Dashboard</t>
        </is>
      </c>
      <c r="C7" s="16" t="inlineStr">
        <is>
          <t>#/app</t>
        </is>
      </c>
      <c r="D7" s="16" t="inlineStr">
        <is>
          <t>all 7</t>
        </is>
      </c>
      <c r="E7" s="16" t="inlineStr">
        <is>
          <t>6 different dashboards in one page</t>
        </is>
      </c>
      <c r="F7" s="16" t="n"/>
      <c r="G7" s="16" t="inlineStr">
        <is>
          <t>Not started</t>
        </is>
      </c>
      <c r="H7" s="16" t="n"/>
      <c r="I7" s="16" t="n"/>
      <c r="J7" s="16" t="n"/>
      <c r="K7" s="16" t="n"/>
      <c r="L7" s="18">
        <f>IF(N(H7)=0,"",J7/H7)</f>
        <v/>
      </c>
      <c r="M7" s="16" t="n"/>
      <c r="N7" s="16" t="n"/>
    </row>
    <row r="8">
      <c r="A8" s="16" t="n">
        <v>6</v>
      </c>
      <c r="B8" s="17" t="inlineStr">
        <is>
          <t>Schools (SaaS console)</t>
        </is>
      </c>
      <c r="C8" s="16" t="inlineStr">
        <is>
          <t>#/app/schools</t>
        </is>
      </c>
      <c r="D8" s="16" t="inlineStr">
        <is>
          <t>owner</t>
        </is>
      </c>
      <c r="E8" s="16" t="inlineStr"/>
      <c r="F8" s="16" t="n"/>
      <c r="G8" s="16" t="inlineStr">
        <is>
          <t>Not started</t>
        </is>
      </c>
      <c r="H8" s="16" t="n"/>
      <c r="I8" s="16" t="n"/>
      <c r="J8" s="16" t="n"/>
      <c r="K8" s="16" t="n"/>
      <c r="L8" s="18">
        <f>IF(N(H8)=0,"",J8/H8)</f>
        <v/>
      </c>
      <c r="M8" s="16" t="n"/>
      <c r="N8" s="16" t="n"/>
    </row>
    <row r="9">
      <c r="A9" s="16" t="n">
        <v>7</v>
      </c>
      <c r="B9" s="17" t="inlineStr">
        <is>
          <t>Settings</t>
        </is>
      </c>
      <c r="C9" s="16" t="inlineStr">
        <is>
          <t>#/app/settings</t>
        </is>
      </c>
      <c r="D9" s="16" t="inlineStr">
        <is>
          <t>schooladmin</t>
        </is>
      </c>
      <c r="E9" s="16" t="inlineStr">
        <is>
          <t>6 tabs</t>
        </is>
      </c>
      <c r="F9" s="16" t="n"/>
      <c r="G9" s="16" t="inlineStr">
        <is>
          <t>Not started</t>
        </is>
      </c>
      <c r="H9" s="16" t="n"/>
      <c r="I9" s="16" t="n"/>
      <c r="J9" s="16" t="n"/>
      <c r="K9" s="16" t="n"/>
      <c r="L9" s="18">
        <f>IF(N(H9)=0,"",J9/H9)</f>
        <v/>
      </c>
      <c r="M9" s="16" t="n"/>
      <c r="N9" s="16" t="n"/>
    </row>
    <row r="10">
      <c r="A10" s="16" t="n">
        <v>8</v>
      </c>
      <c r="B10" s="17" t="inlineStr">
        <is>
          <t>Accounts</t>
        </is>
      </c>
      <c r="C10" s="16" t="inlineStr">
        <is>
          <t>#/app/accounts</t>
        </is>
      </c>
      <c r="D10" s="16" t="inlineStr">
        <is>
          <t>schooladmin</t>
        </is>
      </c>
      <c r="E10" s="16" t="inlineStr">
        <is>
          <t>Last Direction account is protected</t>
        </is>
      </c>
      <c r="F10" s="16" t="n"/>
      <c r="G10" s="16" t="inlineStr">
        <is>
          <t>Not started</t>
        </is>
      </c>
      <c r="H10" s="16" t="n"/>
      <c r="I10" s="16" t="n"/>
      <c r="J10" s="16" t="n"/>
      <c r="K10" s="16" t="n"/>
      <c r="L10" s="18">
        <f>IF(N(H10)=0,"",J10/H10)</f>
        <v/>
      </c>
      <c r="M10" s="16" t="n"/>
      <c r="N10" s="16" t="n"/>
    </row>
    <row r="11">
      <c r="A11" s="16" t="n">
        <v>9</v>
      </c>
      <c r="B11" s="17" t="inlineStr">
        <is>
          <t>Students</t>
        </is>
      </c>
      <c r="C11" s="16" t="inlineStr">
        <is>
          <t>#/app/students</t>
        </is>
      </c>
      <c r="D11" s="16" t="inlineStr">
        <is>
          <t>schooladmin, admin, supervisor, teacher</t>
        </is>
      </c>
      <c r="E11" s="16" t="inlineStr">
        <is>
          <t>DataTable + 24-field modal</t>
        </is>
      </c>
      <c r="F11" s="16" t="n"/>
      <c r="G11" s="16" t="inlineStr">
        <is>
          <t>Not started</t>
        </is>
      </c>
      <c r="H11" s="16" t="n"/>
      <c r="I11" s="16" t="n"/>
      <c r="J11" s="16" t="n"/>
      <c r="K11" s="16" t="n"/>
      <c r="L11" s="18">
        <f>IF(N(H11)=0,"",J11/H11)</f>
        <v/>
      </c>
      <c r="M11" s="16" t="n"/>
      <c r="N11" s="16" t="n"/>
    </row>
    <row r="12">
      <c r="A12" s="16" t="n">
        <v>10</v>
      </c>
      <c r="B12" s="17" t="inlineStr">
        <is>
          <t>Student profile (360)</t>
        </is>
      </c>
      <c r="C12" s="16" t="inlineStr">
        <is>
          <t>#/app/eleve/:id</t>
        </is>
      </c>
      <c r="D12" s="16" t="inlineStr">
        <is>
          <t>schooladmin, admin, supervisor, teacher</t>
        </is>
      </c>
      <c r="E12" s="16" t="inlineStr"/>
      <c r="F12" s="16" t="n"/>
      <c r="G12" s="16" t="inlineStr">
        <is>
          <t>Not started</t>
        </is>
      </c>
      <c r="H12" s="16" t="n"/>
      <c r="I12" s="16" t="n"/>
      <c r="J12" s="16" t="n"/>
      <c r="K12" s="16" t="n"/>
      <c r="L12" s="18">
        <f>IF(N(H12)=0,"",J12/H12)</f>
        <v/>
      </c>
      <c r="M12" s="16" t="n"/>
      <c r="N12" s="16" t="n"/>
    </row>
    <row r="13">
      <c r="A13" s="16" t="n">
        <v>11</v>
      </c>
      <c r="B13" s="17" t="inlineStr">
        <is>
          <t>Teachers</t>
        </is>
      </c>
      <c r="C13" s="16" t="inlineStr">
        <is>
          <t>#/app/teachers</t>
        </is>
      </c>
      <c r="D13" s="16" t="inlineStr">
        <is>
          <t>schooladmin, admin</t>
        </is>
      </c>
      <c r="E13" s="16" t="inlineStr">
        <is>
          <t>14-field add modal</t>
        </is>
      </c>
      <c r="F13" s="16" t="n"/>
      <c r="G13" s="16" t="inlineStr">
        <is>
          <t>Not started</t>
        </is>
      </c>
      <c r="H13" s="16" t="n"/>
      <c r="I13" s="16" t="n"/>
      <c r="J13" s="16" t="n"/>
      <c r="K13" s="16" t="n"/>
      <c r="L13" s="18">
        <f>IF(N(H13)=0,"",J13/H13)</f>
        <v/>
      </c>
      <c r="M13" s="16" t="n"/>
      <c r="N13" s="16" t="n"/>
    </row>
    <row r="14">
      <c r="A14" s="16" t="n">
        <v>12</v>
      </c>
      <c r="B14" s="17" t="inlineStr">
        <is>
          <t>Staff attendance</t>
        </is>
      </c>
      <c r="C14" s="16" t="inlineStr">
        <is>
          <t>#/app/staff</t>
        </is>
      </c>
      <c r="D14" s="16" t="inlineStr">
        <is>
          <t>schooladmin, admin</t>
        </is>
      </c>
      <c r="E14" s="16" t="inlineStr">
        <is>
          <t>3 tabs, CSV export</t>
        </is>
      </c>
      <c r="F14" s="16" t="n"/>
      <c r="G14" s="16" t="inlineStr">
        <is>
          <t>Not started</t>
        </is>
      </c>
      <c r="H14" s="16" t="n"/>
      <c r="I14" s="16" t="n"/>
      <c r="J14" s="16" t="n"/>
      <c r="K14" s="16" t="n"/>
      <c r="L14" s="18">
        <f>IF(N(H14)=0,"",J14/H14)</f>
        <v/>
      </c>
      <c r="M14" s="16" t="n"/>
      <c r="N14" s="16" t="n"/>
    </row>
    <row r="15">
      <c r="A15" s="16" t="n">
        <v>13</v>
      </c>
      <c r="B15" s="17" t="inlineStr">
        <is>
          <t>HR</t>
        </is>
      </c>
      <c r="C15" s="16" t="inlineStr">
        <is>
          <t>#/app/hr</t>
        </is>
      </c>
      <c r="D15" s="16" t="inlineStr">
        <is>
          <t>schooladmin, admin</t>
        </is>
      </c>
      <c r="E15" s="16" t="inlineStr">
        <is>
          <t>Payroll: prepare &gt; recalc &gt; validate &gt; paid</t>
        </is>
      </c>
      <c r="F15" s="16" t="n"/>
      <c r="G15" s="16" t="inlineStr">
        <is>
          <t>Not started</t>
        </is>
      </c>
      <c r="H15" s="16" t="n"/>
      <c r="I15" s="16" t="n"/>
      <c r="J15" s="16" t="n"/>
      <c r="K15" s="16" t="n"/>
      <c r="L15" s="18">
        <f>IF(N(H15)=0,"",J15/H15)</f>
        <v/>
      </c>
      <c r="M15" s="16" t="n"/>
      <c r="N15" s="16" t="n"/>
    </row>
    <row r="16">
      <c r="A16" s="16" t="n">
        <v>14</v>
      </c>
      <c r="B16" s="17" t="inlineStr">
        <is>
          <t>Accounting</t>
        </is>
      </c>
      <c r="C16" s="16" t="inlineStr">
        <is>
          <t>#/app/accounting</t>
        </is>
      </c>
      <c r="D16" s="16" t="inlineStr">
        <is>
          <t>schooladmin, admin</t>
        </is>
      </c>
      <c r="E16" s="16" t="inlineStr">
        <is>
          <t>Invoices immutable, credit notes</t>
        </is>
      </c>
      <c r="F16" s="16" t="n"/>
      <c r="G16" s="16" t="inlineStr">
        <is>
          <t>Not started</t>
        </is>
      </c>
      <c r="H16" s="16" t="n"/>
      <c r="I16" s="16" t="n"/>
      <c r="J16" s="16" t="n"/>
      <c r="K16" s="16" t="n"/>
      <c r="L16" s="18">
        <f>IF(N(H16)=0,"",J16/H16)</f>
        <v/>
      </c>
      <c r="M16" s="16" t="n"/>
      <c r="N16" s="16" t="n"/>
    </row>
    <row r="17">
      <c r="A17" s="16" t="n">
        <v>15</v>
      </c>
      <c r="B17" s="17" t="inlineStr">
        <is>
          <t>Academic</t>
        </is>
      </c>
      <c r="C17" s="16" t="inlineStr">
        <is>
          <t>#/app/academic</t>
        </is>
      </c>
      <c r="D17" s="16" t="inlineStr">
        <is>
          <t>schooladmin, admin, teacher</t>
        </is>
      </c>
      <c r="E17" s="16" t="inlineStr">
        <is>
          <t>Year promotion is irreversible</t>
        </is>
      </c>
      <c r="F17" s="16" t="n"/>
      <c r="G17" s="16" t="inlineStr">
        <is>
          <t>Not started</t>
        </is>
      </c>
      <c r="H17" s="16" t="n"/>
      <c r="I17" s="16" t="n"/>
      <c r="J17" s="16" t="n"/>
      <c r="K17" s="16" t="n"/>
      <c r="L17" s="18">
        <f>IF(N(H17)=0,"",J17/H17)</f>
        <v/>
      </c>
      <c r="M17" s="16" t="n"/>
      <c r="N17" s="16" t="n"/>
    </row>
    <row r="18">
      <c r="A18" s="16" t="n">
        <v>16</v>
      </c>
      <c r="B18" s="17" t="inlineStr">
        <is>
          <t>Facilities</t>
        </is>
      </c>
      <c r="C18" s="16" t="inlineStr">
        <is>
          <t>#/app/facilities</t>
        </is>
      </c>
      <c r="D18" s="16" t="inlineStr">
        <is>
          <t>schooladmin, admin</t>
        </is>
      </c>
      <c r="E18" s="16" t="inlineStr">
        <is>
          <t>Booking conflicts</t>
        </is>
      </c>
      <c r="F18" s="16" t="n"/>
      <c r="G18" s="16" t="inlineStr">
        <is>
          <t>Not started</t>
        </is>
      </c>
      <c r="H18" s="16" t="n"/>
      <c r="I18" s="16" t="n"/>
      <c r="J18" s="16" t="n"/>
      <c r="K18" s="16" t="n"/>
      <c r="L18" s="18">
        <f>IF(N(H18)=0,"",J18/H18)</f>
        <v/>
      </c>
      <c r="M18" s="16" t="n"/>
      <c r="N18" s="16" t="n"/>
    </row>
    <row r="19">
      <c r="A19" s="16" t="n">
        <v>17</v>
      </c>
      <c r="B19" s="17" t="inlineStr">
        <is>
          <t>Pointage (clock-in)</t>
        </is>
      </c>
      <c r="C19" s="16" t="inlineStr">
        <is>
          <t>#/app/pointage</t>
        </is>
      </c>
      <c r="D19" s="16" t="inlineStr">
        <is>
          <t>teacher, supervisor, security, admin</t>
        </is>
      </c>
      <c r="E19" s="16" t="inlineStr"/>
      <c r="F19" s="16" t="n"/>
      <c r="G19" s="16" t="inlineStr">
        <is>
          <t>Not started</t>
        </is>
      </c>
      <c r="H19" s="16" t="n"/>
      <c r="I19" s="16" t="n"/>
      <c r="J19" s="16" t="n"/>
      <c r="K19" s="16" t="n"/>
      <c r="L19" s="18">
        <f>IF(N(H19)=0,"",J19/H19)</f>
        <v/>
      </c>
      <c r="M19" s="16" t="n"/>
      <c r="N19" s="16" t="n"/>
    </row>
    <row r="20">
      <c r="A20" s="16" t="n">
        <v>18</v>
      </c>
      <c r="B20" s="17" t="inlineStr">
        <is>
          <t>Evaluate</t>
        </is>
      </c>
      <c r="C20" s="16" t="inlineStr">
        <is>
          <t>#/app/evaluate</t>
        </is>
      </c>
      <c r="D20" s="16" t="inlineStr">
        <is>
          <t>teacher</t>
        </is>
      </c>
      <c r="E20" s="16" t="inlineStr">
        <is>
          <t>FLAGSHIP FLOW — drag &amp; drop, draft autosave</t>
        </is>
      </c>
      <c r="F20" s="16" t="n"/>
      <c r="G20" s="16" t="inlineStr">
        <is>
          <t>Not started</t>
        </is>
      </c>
      <c r="H20" s="16" t="n"/>
      <c r="I20" s="16" t="n"/>
      <c r="J20" s="16" t="n"/>
      <c r="K20" s="16" t="n"/>
      <c r="L20" s="18">
        <f>IF(N(H20)=0,"",J20/H20)</f>
        <v/>
      </c>
      <c r="M20" s="16" t="n"/>
      <c r="N20" s="16" t="n"/>
    </row>
    <row r="21">
      <c r="A21" s="16" t="n">
        <v>19</v>
      </c>
      <c r="B21" s="17" t="inlineStr">
        <is>
          <t>Child file</t>
        </is>
      </c>
      <c r="C21" s="16" t="inlineStr">
        <is>
          <t>#/app/child</t>
        </is>
      </c>
      <c r="D21" s="16" t="inlineStr">
        <is>
          <t>teacher, admin, schooladmin</t>
        </is>
      </c>
      <c r="E21" s="16" t="inlineStr">
        <is>
          <t>Pickup authorisations, health</t>
        </is>
      </c>
      <c r="F21" s="16" t="n"/>
      <c r="G21" s="16" t="inlineStr">
        <is>
          <t>Not started</t>
        </is>
      </c>
      <c r="H21" s="16" t="n"/>
      <c r="I21" s="16" t="n"/>
      <c r="J21" s="16" t="n"/>
      <c r="K21" s="16" t="n"/>
      <c r="L21" s="18">
        <f>IF(N(H21)=0,"",J21/H21)</f>
        <v/>
      </c>
      <c r="M21" s="16" t="n"/>
      <c r="N21" s="16" t="n"/>
    </row>
    <row r="22">
      <c r="A22" s="16" t="n">
        <v>20</v>
      </c>
      <c r="B22" s="17" t="inlineStr">
        <is>
          <t>Day journal</t>
        </is>
      </c>
      <c r="C22" s="16" t="inlineStr">
        <is>
          <t>#/app/journal</t>
        </is>
      </c>
      <c r="D22" s="16" t="inlineStr">
        <is>
          <t>teacher, admin, schooladmin, parent</t>
        </is>
      </c>
      <c r="E22" s="16" t="inlineStr">
        <is>
          <t>Parent is read-only</t>
        </is>
      </c>
      <c r="F22" s="16" t="n"/>
      <c r="G22" s="16" t="inlineStr">
        <is>
          <t>Not started</t>
        </is>
      </c>
      <c r="H22" s="16" t="n"/>
      <c r="I22" s="16" t="n"/>
      <c r="J22" s="16" t="n"/>
      <c r="K22" s="16" t="n"/>
      <c r="L22" s="18">
        <f>IF(N(H22)=0,"",J22/H22)</f>
        <v/>
      </c>
      <c r="M22" s="16" t="n"/>
      <c r="N22" s="16" t="n"/>
    </row>
    <row r="23">
      <c r="A23" s="16" t="n">
        <v>21</v>
      </c>
      <c r="B23" s="17" t="inlineStr">
        <is>
          <t>Results</t>
        </is>
      </c>
      <c r="C23" s="16" t="inlineStr">
        <is>
          <t>#/app/results</t>
        </is>
      </c>
      <c r="D23" s="16" t="inlineStr">
        <is>
          <t>schooladmin, admin</t>
        </is>
      </c>
      <c r="E23" s="16" t="inlineStr"/>
      <c r="F23" s="16" t="n"/>
      <c r="G23" s="16" t="inlineStr">
        <is>
          <t>Not started</t>
        </is>
      </c>
      <c r="H23" s="16" t="n"/>
      <c r="I23" s="16" t="n"/>
      <c r="J23" s="16" t="n"/>
      <c r="K23" s="16" t="n"/>
      <c r="L23" s="18">
        <f>IF(N(H23)=0,"",J23/H23)</f>
        <v/>
      </c>
      <c r="M23" s="16" t="n"/>
      <c r="N23" s="16" t="n"/>
    </row>
    <row r="24">
      <c r="A24" s="16" t="n">
        <v>22</v>
      </c>
      <c r="B24" s="17" t="inlineStr">
        <is>
          <t>Timetable</t>
        </is>
      </c>
      <c r="C24" s="16" t="inlineStr">
        <is>
          <t>#/app/timetable</t>
        </is>
      </c>
      <c r="D24" s="16" t="inlineStr">
        <is>
          <t>schooladmin, admin, teacher, parent, supervisor</t>
        </is>
      </c>
      <c r="E24" s="16" t="inlineStr"/>
      <c r="F24" s="16" t="n"/>
      <c r="G24" s="16" t="inlineStr">
        <is>
          <t>Not started</t>
        </is>
      </c>
      <c r="H24" s="16" t="n"/>
      <c r="I24" s="16" t="n"/>
      <c r="J24" s="16" t="n"/>
      <c r="K24" s="16" t="n"/>
      <c r="L24" s="18">
        <f>IF(N(H24)=0,"",J24/H24)</f>
        <v/>
      </c>
      <c r="M24" s="16" t="n"/>
      <c r="N24" s="16" t="n"/>
    </row>
    <row r="25">
      <c r="A25" s="16" t="n">
        <v>23</v>
      </c>
      <c r="B25" s="17" t="inlineStr">
        <is>
          <t>Attendance</t>
        </is>
      </c>
      <c r="C25" s="16" t="inlineStr">
        <is>
          <t>#/app/attendance</t>
        </is>
      </c>
      <c r="D25" s="16" t="inlineStr">
        <is>
          <t>schooladmin, teacher, admin, supervisor</t>
        </is>
      </c>
      <c r="E25" s="16" t="inlineStr">
        <is>
          <t>Roll call + notify parent</t>
        </is>
      </c>
      <c r="F25" s="16" t="n"/>
      <c r="G25" s="16" t="inlineStr">
        <is>
          <t>Not started</t>
        </is>
      </c>
      <c r="H25" s="16" t="n"/>
      <c r="I25" s="16" t="n"/>
      <c r="J25" s="16" t="n"/>
      <c r="K25" s="16" t="n"/>
      <c r="L25" s="18">
        <f>IF(N(H25)=0,"",J25/H25)</f>
        <v/>
      </c>
      <c r="M25" s="16" t="n"/>
      <c r="N25" s="16" t="n"/>
    </row>
    <row r="26">
      <c r="A26" s="16" t="n">
        <v>24</v>
      </c>
      <c r="B26" s="17" t="inlineStr">
        <is>
          <t>Homework</t>
        </is>
      </c>
      <c r="C26" s="16" t="inlineStr">
        <is>
          <t>#/app/homework</t>
        </is>
      </c>
      <c r="D26" s="16" t="inlineStr">
        <is>
          <t>teacher, admin, parent</t>
        </is>
      </c>
      <c r="E26" s="16" t="inlineStr">
        <is>
          <t>FEATURE FLAG OFF by default</t>
        </is>
      </c>
      <c r="F26" s="16" t="n"/>
      <c r="G26" s="16" t="inlineStr">
        <is>
          <t>Not started</t>
        </is>
      </c>
      <c r="H26" s="16" t="n"/>
      <c r="I26" s="16" t="n"/>
      <c r="J26" s="16" t="n"/>
      <c r="K26" s="16" t="n"/>
      <c r="L26" s="18">
        <f>IF(N(H26)=0,"",J26/H26)</f>
        <v/>
      </c>
      <c r="M26" s="16" t="n"/>
      <c r="N26" s="16" t="n"/>
    </row>
    <row r="27">
      <c r="A27" s="16" t="n">
        <v>25</v>
      </c>
      <c r="B27" s="17" t="inlineStr">
        <is>
          <t>Exams</t>
        </is>
      </c>
      <c r="C27" s="16" t="inlineStr">
        <is>
          <t>#/app/exams</t>
        </is>
      </c>
      <c r="D27" s="16" t="inlineStr">
        <is>
          <t>schooladmin, admin, teacher, parent</t>
        </is>
      </c>
      <c r="E27" s="16" t="inlineStr">
        <is>
          <t>FEATURE FLAG OFF by default</t>
        </is>
      </c>
      <c r="F27" s="16" t="n"/>
      <c r="G27" s="16" t="inlineStr">
        <is>
          <t>Not started</t>
        </is>
      </c>
      <c r="H27" s="16" t="n"/>
      <c r="I27" s="16" t="n"/>
      <c r="J27" s="16" t="n"/>
      <c r="K27" s="16" t="n"/>
      <c r="L27" s="18">
        <f>IF(N(H27)=0,"",J27/H27)</f>
        <v/>
      </c>
      <c r="M27" s="16" t="n"/>
      <c r="N27" s="16" t="n"/>
    </row>
    <row r="28">
      <c r="A28" s="16" t="n">
        <v>26</v>
      </c>
      <c r="B28" s="17" t="inlineStr">
        <is>
          <t>Finance</t>
        </is>
      </c>
      <c r="C28" s="16" t="inlineStr">
        <is>
          <t>#/app/finance</t>
        </is>
      </c>
      <c r="D28" s="16" t="inlineStr">
        <is>
          <t>schooladmin, admin</t>
        </is>
      </c>
      <c r="E28" s="16" t="inlineStr"/>
      <c r="F28" s="16" t="n"/>
      <c r="G28" s="16" t="inlineStr">
        <is>
          <t>Not started</t>
        </is>
      </c>
      <c r="H28" s="16" t="n"/>
      <c r="I28" s="16" t="n"/>
      <c r="J28" s="16" t="n"/>
      <c r="K28" s="16" t="n"/>
      <c r="L28" s="18">
        <f>IF(N(H28)=0,"",J28/H28)</f>
        <v/>
      </c>
      <c r="M28" s="16" t="n"/>
      <c r="N28" s="16" t="n"/>
    </row>
    <row r="29">
      <c r="A29" s="16" t="n">
        <v>27</v>
      </c>
      <c r="B29" s="17" t="inlineStr">
        <is>
          <t>Payments</t>
        </is>
      </c>
      <c r="C29" s="16" t="inlineStr">
        <is>
          <t>#/app/payments</t>
        </is>
      </c>
      <c r="D29" s="16" t="inlineStr">
        <is>
          <t>parent</t>
        </is>
      </c>
      <c r="E29" s="16" t="inlineStr">
        <is>
          <t>Parent can never set status to Payé</t>
        </is>
      </c>
      <c r="F29" s="16" t="n"/>
      <c r="G29" s="16" t="inlineStr">
        <is>
          <t>Not started</t>
        </is>
      </c>
      <c r="H29" s="16" t="n"/>
      <c r="I29" s="16" t="n"/>
      <c r="J29" s="16" t="n"/>
      <c r="K29" s="16" t="n"/>
      <c r="L29" s="18">
        <f>IF(N(H29)=0,"",J29/H29)</f>
        <v/>
      </c>
      <c r="M29" s="16" t="n"/>
      <c r="N29" s="16" t="n"/>
    </row>
    <row r="30">
      <c r="A30" s="16" t="n">
        <v>28</v>
      </c>
      <c r="B30" s="17" t="inlineStr">
        <is>
          <t>Live tracking</t>
        </is>
      </c>
      <c r="C30" s="16" t="inlineStr">
        <is>
          <t>#/app/live</t>
        </is>
      </c>
      <c r="D30" s="16" t="inlineStr">
        <is>
          <t>parent</t>
        </is>
      </c>
      <c r="E30" s="16" t="inlineStr">
        <is>
          <t>Route map + time slider</t>
        </is>
      </c>
      <c r="F30" s="16" t="n"/>
      <c r="G30" s="16" t="inlineStr">
        <is>
          <t>Not started</t>
        </is>
      </c>
      <c r="H30" s="16" t="n"/>
      <c r="I30" s="16" t="n"/>
      <c r="J30" s="16" t="n"/>
      <c r="K30" s="16" t="n"/>
      <c r="L30" s="18">
        <f>IF(N(H30)=0,"",J30/H30)</f>
        <v/>
      </c>
      <c r="M30" s="16" t="n"/>
      <c r="N30" s="16" t="n"/>
    </row>
    <row r="31">
      <c r="A31" s="16" t="n">
        <v>29</v>
      </c>
      <c r="B31" s="17" t="inlineStr">
        <is>
          <t>Library</t>
        </is>
      </c>
      <c r="C31" s="16" t="inlineStr">
        <is>
          <t>#/app/library</t>
        </is>
      </c>
      <c r="D31" s="16" t="inlineStr">
        <is>
          <t>schooladmin, admin, teacher</t>
        </is>
      </c>
      <c r="E31" s="16" t="inlineStr">
        <is>
          <t>FEATURE FLAG OFF by default</t>
        </is>
      </c>
      <c r="F31" s="16" t="n"/>
      <c r="G31" s="16" t="inlineStr">
        <is>
          <t>Not started</t>
        </is>
      </c>
      <c r="H31" s="16" t="n"/>
      <c r="I31" s="16" t="n"/>
      <c r="J31" s="16" t="n"/>
      <c r="K31" s="16" t="n"/>
      <c r="L31" s="18">
        <f>IF(N(H31)=0,"",J31/H31)</f>
        <v/>
      </c>
      <c r="M31" s="16" t="n"/>
      <c r="N31" s="16" t="n"/>
    </row>
    <row r="32">
      <c r="A32" s="16" t="n">
        <v>30</v>
      </c>
      <c r="B32" s="17" t="inlineStr">
        <is>
          <t>Transport</t>
        </is>
      </c>
      <c r="C32" s="16" t="inlineStr">
        <is>
          <t>#/app/transport</t>
        </is>
      </c>
      <c r="D32" s="16" t="inlineStr">
        <is>
          <t>schooladmin, admin, parent</t>
        </is>
      </c>
      <c r="E32" s="16" t="inlineStr">
        <is>
          <t>FEATURE FLAG OFF by default</t>
        </is>
      </c>
      <c r="F32" s="16" t="n"/>
      <c r="G32" s="16" t="inlineStr">
        <is>
          <t>Not started</t>
        </is>
      </c>
      <c r="H32" s="16" t="n"/>
      <c r="I32" s="16" t="n"/>
      <c r="J32" s="16" t="n"/>
      <c r="K32" s="16" t="n"/>
      <c r="L32" s="18">
        <f>IF(N(H32)=0,"",J32/H32)</f>
        <v/>
      </c>
      <c r="M32" s="16" t="n"/>
      <c r="N32" s="16" t="n"/>
    </row>
    <row r="33">
      <c r="A33" s="16" t="n">
        <v>31</v>
      </c>
      <c r="B33" s="17" t="inlineStr">
        <is>
          <t>Events</t>
        </is>
      </c>
      <c r="C33" s="16" t="inlineStr">
        <is>
          <t>#/app/events</t>
        </is>
      </c>
      <c r="D33" s="16" t="inlineStr">
        <is>
          <t>6 roles</t>
        </is>
      </c>
      <c r="E33" s="16" t="inlineStr">
        <is>
          <t>Month calendar</t>
        </is>
      </c>
      <c r="F33" s="16" t="n"/>
      <c r="G33" s="16" t="inlineStr">
        <is>
          <t>Not started</t>
        </is>
      </c>
      <c r="H33" s="16" t="n"/>
      <c r="I33" s="16" t="n"/>
      <c r="J33" s="16" t="n"/>
      <c r="K33" s="16" t="n"/>
      <c r="L33" s="18">
        <f>IF(N(H33)=0,"",J33/H33)</f>
        <v/>
      </c>
      <c r="M33" s="16" t="n"/>
      <c r="N33" s="16" t="n"/>
    </row>
    <row r="34">
      <c r="A34" s="16" t="n">
        <v>32</v>
      </c>
      <c r="B34" s="17" t="inlineStr">
        <is>
          <t>Social</t>
        </is>
      </c>
      <c r="C34" s="16" t="inlineStr">
        <is>
          <t>#/app/social</t>
        </is>
      </c>
      <c r="D34" s="16" t="inlineStr">
        <is>
          <t>6 roles</t>
        </is>
      </c>
      <c r="E34" s="16" t="inlineStr">
        <is>
          <t>LARGEST PAGE — RSVP / quorum / approval state machine</t>
        </is>
      </c>
      <c r="F34" s="16" t="n"/>
      <c r="G34" s="16" t="inlineStr">
        <is>
          <t>Not started</t>
        </is>
      </c>
      <c r="H34" s="16" t="n"/>
      <c r="I34" s="16" t="n"/>
      <c r="J34" s="16" t="n"/>
      <c r="K34" s="16" t="n"/>
      <c r="L34" s="18">
        <f>IF(N(H34)=0,"",J34/H34)</f>
        <v/>
      </c>
      <c r="M34" s="16" t="n"/>
      <c r="N34" s="16" t="n"/>
    </row>
    <row r="35">
      <c r="A35" s="16" t="n">
        <v>33</v>
      </c>
      <c r="B35" s="17" t="inlineStr">
        <is>
          <t>Security</t>
        </is>
      </c>
      <c r="C35" s="16" t="inlineStr">
        <is>
          <t>#/app/security</t>
        </is>
      </c>
      <c r="D35" s="16" t="inlineStr">
        <is>
          <t>security, schooladmin, admin</t>
        </is>
      </c>
      <c r="E35" s="16" t="inlineStr">
        <is>
          <t>5 tabs</t>
        </is>
      </c>
      <c r="F35" s="16" t="n"/>
      <c r="G35" s="16" t="inlineStr">
        <is>
          <t>Not started</t>
        </is>
      </c>
      <c r="H35" s="16" t="n"/>
      <c r="I35" s="16" t="n"/>
      <c r="J35" s="16" t="n"/>
      <c r="K35" s="16" t="n"/>
      <c r="L35" s="18">
        <f>IF(N(H35)=0,"",J35/H35)</f>
        <v/>
      </c>
      <c r="M35" s="16" t="n"/>
      <c r="N35" s="16" t="n"/>
    </row>
    <row r="36">
      <c r="A36" s="16" t="n">
        <v>34</v>
      </c>
      <c r="B36" s="17" t="inlineStr">
        <is>
          <t>Incidents</t>
        </is>
      </c>
      <c r="C36" s="16" t="inlineStr">
        <is>
          <t>#/app/incidents</t>
        </is>
      </c>
      <c r="D36" s="16" t="inlineStr">
        <is>
          <t>supervisor, security, admin, schooladmin</t>
        </is>
      </c>
      <c r="E36" s="16" t="inlineStr"/>
      <c r="F36" s="16" t="n"/>
      <c r="G36" s="16" t="inlineStr">
        <is>
          <t>Not started</t>
        </is>
      </c>
      <c r="H36" s="16" t="n"/>
      <c r="I36" s="16" t="n"/>
      <c r="J36" s="16" t="n"/>
      <c r="K36" s="16" t="n"/>
      <c r="L36" s="18">
        <f>IF(N(H36)=0,"",J36/H36)</f>
        <v/>
      </c>
      <c r="M36" s="16" t="n"/>
      <c r="N36" s="16" t="n"/>
    </row>
    <row r="37">
      <c r="A37" s="16" t="n">
        <v>35</v>
      </c>
      <c r="B37" s="17" t="inlineStr">
        <is>
          <t>Accidents</t>
        </is>
      </c>
      <c r="C37" s="16" t="inlineStr">
        <is>
          <t>#/app/accidents</t>
        </is>
      </c>
      <c r="D37" s="16" t="inlineStr">
        <is>
          <t>teacher, supervisor, admin, schooladmin, parent</t>
        </is>
      </c>
      <c r="E37" s="16" t="inlineStr">
        <is>
          <t>Two-eyes rule</t>
        </is>
      </c>
      <c r="F37" s="16" t="n"/>
      <c r="G37" s="16" t="inlineStr">
        <is>
          <t>Not started</t>
        </is>
      </c>
      <c r="H37" s="16" t="n"/>
      <c r="I37" s="16" t="n"/>
      <c r="J37" s="16" t="n"/>
      <c r="K37" s="16" t="n"/>
      <c r="L37" s="18">
        <f>IF(N(H37)=0,"",J37/H37)</f>
        <v/>
      </c>
      <c r="M37" s="16" t="n"/>
      <c r="N37" s="16" t="n"/>
    </row>
    <row r="38">
      <c r="A38" s="16" t="n">
        <v>36</v>
      </c>
      <c r="B38" s="17" t="inlineStr">
        <is>
          <t>Behavior</t>
        </is>
      </c>
      <c r="C38" s="16" t="inlineStr">
        <is>
          <t>#/app/behavior</t>
        </is>
      </c>
      <c r="D38" s="16" t="inlineStr">
        <is>
          <t>teacher, admin, schooladmin, parent</t>
        </is>
      </c>
      <c r="E38" s="16" t="inlineStr">
        <is>
          <t>No ranking allowed</t>
        </is>
      </c>
      <c r="F38" s="16" t="n"/>
      <c r="G38" s="16" t="inlineStr">
        <is>
          <t>Not started</t>
        </is>
      </c>
      <c r="H38" s="16" t="n"/>
      <c r="I38" s="16" t="n"/>
      <c r="J38" s="16" t="n"/>
      <c r="K38" s="16" t="n"/>
      <c r="L38" s="18">
        <f>IF(N(H38)=0,"",J38/H38)</f>
        <v/>
      </c>
      <c r="M38" s="16" t="n"/>
      <c r="N38" s="16" t="n"/>
    </row>
    <row r="39">
      <c r="A39" s="16" t="n">
        <v>37</v>
      </c>
      <c r="B39" s="17" t="inlineStr">
        <is>
          <t>Gallery</t>
        </is>
      </c>
      <c r="C39" s="16" t="inlineStr">
        <is>
          <t>#/app/gallery</t>
        </is>
      </c>
      <c r="D39" s="16" t="inlineStr">
        <is>
          <t>teacher, admin, schooladmin, parent</t>
        </is>
      </c>
      <c r="E39" s="16" t="inlineStr">
        <is>
          <t>Photo privacy per parent</t>
        </is>
      </c>
      <c r="F39" s="16" t="n"/>
      <c r="G39" s="16" t="inlineStr">
        <is>
          <t>Not started</t>
        </is>
      </c>
      <c r="H39" s="16" t="n"/>
      <c r="I39" s="16" t="n"/>
      <c r="J39" s="16" t="n"/>
      <c r="K39" s="16" t="n"/>
      <c r="L39" s="18">
        <f>IF(N(H39)=0,"",J39/H39)</f>
        <v/>
      </c>
      <c r="M39" s="16" t="n"/>
      <c r="N39" s="16" t="n"/>
    </row>
    <row r="40">
      <c r="A40" s="16" t="n">
        <v>38</v>
      </c>
      <c r="B40" s="17" t="inlineStr">
        <is>
          <t>Canteen</t>
        </is>
      </c>
      <c r="C40" s="16" t="inlineStr">
        <is>
          <t>#/app/canteen</t>
        </is>
      </c>
      <c r="D40" s="16" t="inlineStr">
        <is>
          <t>teacher, admin, schooladmin, parent</t>
        </is>
      </c>
      <c r="E40" s="16" t="inlineStr">
        <is>
          <t>Allergen alerts</t>
        </is>
      </c>
      <c r="F40" s="16" t="n"/>
      <c r="G40" s="16" t="inlineStr">
        <is>
          <t>Not started</t>
        </is>
      </c>
      <c r="H40" s="16" t="n"/>
      <c r="I40" s="16" t="n"/>
      <c r="J40" s="16" t="n"/>
      <c r="K40" s="16" t="n"/>
      <c r="L40" s="18">
        <f>IF(N(H40)=0,"",J40/H40)</f>
        <v/>
      </c>
      <c r="M40" s="16" t="n"/>
      <c r="N40" s="16" t="n"/>
    </row>
    <row r="41">
      <c r="A41" s="16" t="n">
        <v>39</v>
      </c>
      <c r="B41" s="17" t="inlineStr">
        <is>
          <t>Documents</t>
        </is>
      </c>
      <c r="C41" s="16" t="inlineStr">
        <is>
          <t>#/app/documents</t>
        </is>
      </c>
      <c r="D41" s="16" t="inlineStr">
        <is>
          <t>admin, schooladmin</t>
        </is>
      </c>
      <c r="E41" s="16" t="inlineStr">
        <is>
          <t>Gapless numbering, append-only</t>
        </is>
      </c>
      <c r="F41" s="16" t="n"/>
      <c r="G41" s="16" t="inlineStr">
        <is>
          <t>Not started</t>
        </is>
      </c>
      <c r="H41" s="16" t="n"/>
      <c r="I41" s="16" t="n"/>
      <c r="J41" s="16" t="n"/>
      <c r="K41" s="16" t="n"/>
      <c r="L41" s="18">
        <f>IF(N(H41)=0,"",J41/H41)</f>
        <v/>
      </c>
      <c r="M41" s="16" t="n"/>
      <c r="N41" s="16" t="n"/>
    </row>
    <row r="42">
      <c r="A42" s="16" t="n">
        <v>40</v>
      </c>
      <c r="B42" s="17" t="inlineStr">
        <is>
          <t>Budget</t>
        </is>
      </c>
      <c r="C42" s="16" t="inlineStr">
        <is>
          <t>#/app/budget</t>
        </is>
      </c>
      <c r="D42" s="16" t="inlineStr">
        <is>
          <t>schooladmin, admin</t>
        </is>
      </c>
      <c r="E42" s="16" t="inlineStr"/>
      <c r="F42" s="16" t="n"/>
      <c r="G42" s="16" t="inlineStr">
        <is>
          <t>Not started</t>
        </is>
      </c>
      <c r="H42" s="16" t="n"/>
      <c r="I42" s="16" t="n"/>
      <c r="J42" s="16" t="n"/>
      <c r="K42" s="16" t="n"/>
      <c r="L42" s="18">
        <f>IF(N(H42)=0,"",J42/H42)</f>
        <v/>
      </c>
      <c r="M42" s="16" t="n"/>
      <c r="N42" s="16" t="n"/>
    </row>
    <row r="43">
      <c r="A43" s="16" t="n">
        <v>41</v>
      </c>
      <c r="B43" s="17" t="inlineStr">
        <is>
          <t>Inventory</t>
        </is>
      </c>
      <c r="C43" s="16" t="inlineStr">
        <is>
          <t>#/app/inventory</t>
        </is>
      </c>
      <c r="D43" s="16" t="inlineStr">
        <is>
          <t>schooladmin, admin</t>
        </is>
      </c>
      <c r="E43" s="16" t="inlineStr">
        <is>
          <t>Stock never below zero</t>
        </is>
      </c>
      <c r="F43" s="16" t="n"/>
      <c r="G43" s="16" t="inlineStr">
        <is>
          <t>Not started</t>
        </is>
      </c>
      <c r="H43" s="16" t="n"/>
      <c r="I43" s="16" t="n"/>
      <c r="J43" s="16" t="n"/>
      <c r="K43" s="16" t="n"/>
      <c r="L43" s="18">
        <f>IF(N(H43)=0,"",J43/H43)</f>
        <v/>
      </c>
      <c r="M43" s="16" t="n"/>
      <c r="N43" s="16" t="n"/>
    </row>
    <row r="44">
      <c r="A44" s="16" t="n">
        <v>42</v>
      </c>
      <c r="B44" s="17" t="inlineStr">
        <is>
          <t>Recruit</t>
        </is>
      </c>
      <c r="C44" s="16" t="inlineStr">
        <is>
          <t>#/app/recruit</t>
        </is>
      </c>
      <c r="D44" s="16" t="inlineStr">
        <is>
          <t>schooladmin, admin</t>
        </is>
      </c>
      <c r="E44" s="16" t="inlineStr">
        <is>
          <t>No stage skipping</t>
        </is>
      </c>
      <c r="F44" s="16" t="n"/>
      <c r="G44" s="16" t="inlineStr">
        <is>
          <t>Not started</t>
        </is>
      </c>
      <c r="H44" s="16" t="n"/>
      <c r="I44" s="16" t="n"/>
      <c r="J44" s="16" t="n"/>
      <c r="K44" s="16" t="n"/>
      <c r="L44" s="18">
        <f>IF(N(H44)=0,"",J44/H44)</f>
        <v/>
      </c>
      <c r="M44" s="16" t="n"/>
      <c r="N44" s="16" t="n"/>
    </row>
    <row r="45">
      <c r="A45" s="16" t="n">
        <v>43</v>
      </c>
      <c r="B45" s="17" t="inlineStr">
        <is>
          <t>Admissions</t>
        </is>
      </c>
      <c r="C45" s="16" t="inlineStr">
        <is>
          <t>#/app/admissions</t>
        </is>
      </c>
      <c r="D45" s="16" t="inlineStr">
        <is>
          <t>schooladmin, admin</t>
        </is>
      </c>
      <c r="E45" s="16" t="inlineStr">
        <is>
          <t>Capacity decides / waitlist</t>
        </is>
      </c>
      <c r="F45" s="16" t="n"/>
      <c r="G45" s="16" t="inlineStr">
        <is>
          <t>Not started</t>
        </is>
      </c>
      <c r="H45" s="16" t="n"/>
      <c r="I45" s="16" t="n"/>
      <c r="J45" s="16" t="n"/>
      <c r="K45" s="16" t="n"/>
      <c r="L45" s="18">
        <f>IF(N(H45)=0,"",J45/H45)</f>
        <v/>
      </c>
      <c r="M45" s="16" t="n"/>
      <c r="N45" s="16" t="n"/>
    </row>
    <row r="46">
      <c r="A46" s="16" t="n">
        <v>44</v>
      </c>
      <c r="B46" s="17" t="inlineStr">
        <is>
          <t>Interop (OneRoster)</t>
        </is>
      </c>
      <c r="C46" s="16" t="inlineStr">
        <is>
          <t>#/app/interop</t>
        </is>
      </c>
      <c r="D46" s="16" t="inlineStr">
        <is>
          <t>schooladmin, admin</t>
        </is>
      </c>
      <c r="E46" s="16" t="inlineStr">
        <is>
          <t>CSV v1.2 export</t>
        </is>
      </c>
      <c r="F46" s="16" t="n"/>
      <c r="G46" s="16" t="inlineStr">
        <is>
          <t>Not started</t>
        </is>
      </c>
      <c r="H46" s="16" t="n"/>
      <c r="I46" s="16" t="n"/>
      <c r="J46" s="16" t="n"/>
      <c r="K46" s="16" t="n"/>
      <c r="L46" s="18">
        <f>IF(N(H46)=0,"",J46/H46)</f>
        <v/>
      </c>
      <c r="M46" s="16" t="n"/>
      <c r="N46" s="16" t="n"/>
    </row>
    <row r="47">
      <c r="A47" s="16" t="n">
        <v>45</v>
      </c>
      <c r="B47" s="17" t="inlineStr">
        <is>
          <t>Requests</t>
        </is>
      </c>
      <c r="C47" s="16" t="inlineStr">
        <is>
          <t>#/app/requests</t>
        </is>
      </c>
      <c r="D47" s="16" t="inlineStr">
        <is>
          <t>teacher, admin, schooladmin</t>
        </is>
      </c>
      <c r="E47" s="16" t="inlineStr">
        <is>
          <t>12 types, 2-level approval</t>
        </is>
      </c>
      <c r="F47" s="16" t="n"/>
      <c r="G47" s="16" t="inlineStr">
        <is>
          <t>Not started</t>
        </is>
      </c>
      <c r="H47" s="16" t="n"/>
      <c r="I47" s="16" t="n"/>
      <c r="J47" s="16" t="n"/>
      <c r="K47" s="16" t="n"/>
      <c r="L47" s="18">
        <f>IF(N(H47)=0,"",J47/H47)</f>
        <v/>
      </c>
      <c r="M47" s="16" t="n"/>
      <c r="N47" s="16" t="n"/>
    </row>
    <row r="48">
      <c r="A48" s="16" t="n">
        <v>46</v>
      </c>
      <c r="B48" s="17" t="inlineStr">
        <is>
          <t>Messages</t>
        </is>
      </c>
      <c r="C48" s="16" t="inlineStr">
        <is>
          <t>#/app/messages</t>
        </is>
      </c>
      <c r="D48" s="16" t="inlineStr">
        <is>
          <t>all 7</t>
        </is>
      </c>
      <c r="E48" s="16" t="inlineStr"/>
      <c r="F48" s="16" t="n"/>
      <c r="G48" s="16" t="inlineStr">
        <is>
          <t>Not started</t>
        </is>
      </c>
      <c r="H48" s="16" t="n"/>
      <c r="I48" s="16" t="n"/>
      <c r="J48" s="16" t="n"/>
      <c r="K48" s="16" t="n"/>
      <c r="L48" s="18">
        <f>IF(N(H48)=0,"",J48/H48)</f>
        <v/>
      </c>
      <c r="M48" s="16" t="n"/>
      <c r="N48" s="16" t="n"/>
    </row>
    <row r="49">
      <c r="A49" s="16" t="n">
        <v>47</v>
      </c>
      <c r="B49" s="17" t="inlineStr">
        <is>
          <t>Notices</t>
        </is>
      </c>
      <c r="C49" s="16" t="inlineStr">
        <is>
          <t>#/app/notices</t>
        </is>
      </c>
      <c r="D49" s="16" t="inlineStr">
        <is>
          <t>all 7</t>
        </is>
      </c>
      <c r="E49" s="16" t="inlineStr"/>
      <c r="F49" s="16" t="n"/>
      <c r="G49" s="16" t="inlineStr">
        <is>
          <t>Not started</t>
        </is>
      </c>
      <c r="H49" s="16" t="n"/>
      <c r="I49" s="16" t="n"/>
      <c r="J49" s="16" t="n"/>
      <c r="K49" s="16" t="n"/>
      <c r="L49" s="18">
        <f>IF(N(H49)=0,"",J49/H49)</f>
        <v/>
      </c>
      <c r="M49" s="16" t="n"/>
      <c r="N49" s="16" t="n"/>
    </row>
    <row r="50">
      <c r="A50" s="16" t="n">
        <v>48</v>
      </c>
      <c r="B50" s="17" t="inlineStr">
        <is>
          <t>Notifications</t>
        </is>
      </c>
      <c r="C50" s="16" t="inlineStr">
        <is>
          <t>#/app/notifications</t>
        </is>
      </c>
      <c r="D50" s="16" t="inlineStr">
        <is>
          <t>all 7</t>
        </is>
      </c>
      <c r="E50" s="16" t="inlineStr"/>
      <c r="F50" s="16" t="n"/>
      <c r="G50" s="16" t="inlineStr">
        <is>
          <t>Not started</t>
        </is>
      </c>
      <c r="H50" s="16" t="n"/>
      <c r="I50" s="16" t="n"/>
      <c r="J50" s="16" t="n"/>
      <c r="K50" s="16" t="n"/>
      <c r="L50" s="18">
        <f>IF(N(H50)=0,"",J50/H50)</f>
        <v/>
      </c>
      <c r="M50" s="16" t="n"/>
      <c r="N50" s="16" t="n"/>
    </row>
    <row r="51">
      <c r="A51" s="16" t="n">
        <v>49</v>
      </c>
      <c r="B51" s="17" t="inlineStr">
        <is>
          <t>Cross-cutting: AppShell</t>
        </is>
      </c>
      <c r="C51" s="16" t="inlineStr">
        <is>
          <t>(every page)</t>
        </is>
      </c>
      <c r="D51" s="16" t="inlineStr">
        <is>
          <t>all 7</t>
        </is>
      </c>
      <c r="E51" s="16" t="inlineStr">
        <is>
          <t>Sidebar, Ctrl+K palette, bell, user menu, FR/AR</t>
        </is>
      </c>
      <c r="F51" s="16" t="n"/>
      <c r="G51" s="16" t="inlineStr">
        <is>
          <t>Not started</t>
        </is>
      </c>
      <c r="H51" s="16" t="n"/>
      <c r="I51" s="16" t="n"/>
      <c r="J51" s="16" t="n"/>
      <c r="K51" s="16" t="n"/>
      <c r="L51" s="18">
        <f>IF(N(H51)=0,"",J51/H51)</f>
        <v/>
      </c>
      <c r="M51" s="16" t="n"/>
      <c r="N51" s="16" t="n"/>
    </row>
    <row r="52">
      <c r="A52" s="16" t="n">
        <v>50</v>
      </c>
      <c r="B52" s="17" t="inlineStr">
        <is>
          <t>Cross-cutting: Arabic RTL</t>
        </is>
      </c>
      <c r="C52" s="16" t="inlineStr">
        <is>
          <t>(every page)</t>
        </is>
      </c>
      <c r="D52" s="16" t="inlineStr">
        <is>
          <t>all 7</t>
        </is>
      </c>
      <c r="E52" s="16" t="inlineStr">
        <is>
          <t>dir=rtl, Tajawal font, no clipped layout</t>
        </is>
      </c>
      <c r="F52" s="16" t="n"/>
      <c r="G52" s="16" t="inlineStr">
        <is>
          <t>Not started</t>
        </is>
      </c>
      <c r="H52" s="16" t="n"/>
      <c r="I52" s="16" t="n"/>
      <c r="J52" s="16" t="n"/>
      <c r="K52" s="16" t="n"/>
      <c r="L52" s="18">
        <f>IF(N(H52)=0,"",J52/H52)</f>
        <v/>
      </c>
      <c r="M52" s="16" t="n"/>
      <c r="N52" s="16" t="n"/>
    </row>
    <row r="53">
      <c r="A53" s="16" t="n">
        <v>51</v>
      </c>
      <c r="B53" s="17" t="inlineStr">
        <is>
          <t>Cross-cutting: Mobile 390px</t>
        </is>
      </c>
      <c r="C53" s="16" t="inlineStr">
        <is>
          <t>(every page)</t>
        </is>
      </c>
      <c r="D53" s="16" t="inlineStr">
        <is>
          <t>all 7</t>
        </is>
      </c>
      <c r="E53" s="16" t="inlineStr">
        <is>
          <t>No horizontal overflow</t>
        </is>
      </c>
      <c r="F53" s="16" t="n"/>
      <c r="G53" s="16" t="inlineStr">
        <is>
          <t>Not started</t>
        </is>
      </c>
      <c r="H53" s="16" t="n"/>
      <c r="I53" s="16" t="n"/>
      <c r="J53" s="16" t="n"/>
      <c r="K53" s="16" t="n"/>
      <c r="L53" s="18">
        <f>IF(N(H53)=0,"",J53/H53)</f>
        <v/>
      </c>
      <c r="M53" s="16" t="n"/>
      <c r="N53" s="16" t="n"/>
    </row>
  </sheetData>
  <autoFilter ref="A2:N2"/>
  <mergeCells count="1">
    <mergeCell ref="A1:N1"/>
  </mergeCells>
  <conditionalFormatting sqref="G3:G53">
    <cfRule type="cellIs" priority="1" operator="equal" dxfId="0">
      <formula>"Complete"</formula>
    </cfRule>
    <cfRule type="cellIs" priority="2" operator="equal" dxfId="1">
      <formula>"Blocked"</formula>
    </cfRule>
    <cfRule type="cellIs" priority="3" operator="equal" dxfId="2">
      <formula>"In progress"</formula>
    </cfRule>
    <cfRule type="cellIs" priority="4" operator="equal" dxfId="3">
      <formula>"Not started"</formula>
    </cfRule>
  </conditionalFormatting>
  <dataValidations count="1">
    <dataValidation sqref="G3:G53" showDropDown="0" showInputMessage="0" showErrorMessage="0" allowBlank="1" type="list">
      <formula1>=Lists!$L$2:$L$6</formula1>
    </dataValidation>
  </dataValidations>
  <pageMargins left="0.75" right="0.75" top="1" bottom="1" header="0.5" footer="0.5"/>
</worksheet>
</file>

<file path=xl/worksheets/sheet7.xml><?xml version="1.0" encoding="utf-8"?>
<worksheet xmlns="http://schemas.openxmlformats.org/spreadsheetml/2006/main">
  <sheetPr>
    <tabColor rgb="00C2410C"/>
    <outlinePr summaryBelow="1" summaryRight="1"/>
    <pageSetUpPr/>
  </sheetPr>
  <dimension ref="A1:F11"/>
  <sheetViews>
    <sheetView workbookViewId="0">
      <pane ySplit="2" topLeftCell="A3" activePane="bottomLeft" state="frozen"/>
      <selection pane="bottomLeft" activeCell="A1" sqref="A1"/>
    </sheetView>
  </sheetViews>
  <sheetFormatPr baseColWidth="8" defaultRowHeight="15"/>
  <cols>
    <col width="15" customWidth="1" min="1" max="1"/>
    <col width="18" customWidth="1" min="2" max="2"/>
    <col width="26" customWidth="1" min="3" max="3"/>
    <col width="14" customWidth="1" min="4" max="4"/>
    <col width="56" customWidth="1" min="5" max="5"/>
    <col width="34" customWidth="1" min="6" max="6"/>
  </cols>
  <sheetData>
    <row r="1" ht="26" customHeight="1">
      <c r="A1" s="13" t="inlineStr">
        <is>
          <t>THE 7 DEMO ACCOUNTS — always test with these. Never invent accounts: results must be reproducible.</t>
        </is>
      </c>
    </row>
    <row r="2" ht="42" customHeight="1">
      <c r="A2" s="14" t="inlineStr">
        <is>
          <t>Role (code)</t>
        </is>
      </c>
      <c r="B2" s="14" t="inlineStr">
        <is>
          <t>Label in app</t>
        </is>
      </c>
      <c r="C2" s="14" t="inlineStr">
        <is>
          <t>Demo e-mail</t>
        </is>
      </c>
      <c r="D2" s="14" t="inlineStr">
        <is>
          <t>Password</t>
        </is>
      </c>
      <c r="E2" s="14" t="inlineStr">
        <is>
          <t>What to check with this role</t>
        </is>
      </c>
      <c r="F2" s="14" t="inlineStr">
        <is>
          <t>Notes</t>
        </is>
      </c>
    </row>
    <row r="3" ht="30" customHeight="1">
      <c r="A3" s="17" t="inlineStr">
        <is>
          <t>owner</t>
        </is>
      </c>
      <c r="B3" s="16" t="inlineStr">
        <is>
          <t>Plateforme</t>
        </is>
      </c>
      <c r="C3" s="16" t="inlineStr">
        <is>
          <t>owner@kogia.tn</t>
        </is>
      </c>
      <c r="D3" s="16" t="inlineStr">
        <is>
          <t>owner</t>
        </is>
      </c>
      <c r="E3" s="16" t="inlineStr">
        <is>
          <t>SaaS console: create a school, suspend it, reset demo data.</t>
        </is>
      </c>
      <c r="F3" s="16" t="inlineStr">
        <is>
          <t>Kogia Group level, above the school</t>
        </is>
      </c>
    </row>
    <row r="4" ht="30" customHeight="1">
      <c r="A4" s="17" t="inlineStr">
        <is>
          <t>schooladmin</t>
        </is>
      </c>
      <c r="B4" s="16" t="inlineStr">
        <is>
          <t>Direction</t>
        </is>
      </c>
      <c r="C4" s="16" t="inlineStr">
        <is>
          <t>direction@alnour.tn</t>
        </is>
      </c>
      <c r="D4" s="16" t="inlineStr">
        <is>
          <t>admin</t>
        </is>
      </c>
      <c r="E4" s="16" t="inlineStr">
        <is>
          <t>Everything. Settings, accounts, modules, finance, promotion.</t>
        </is>
      </c>
      <c r="F4" s="16" t="inlineStr">
        <is>
          <t>The last active Direction account cannot be disabled</t>
        </is>
      </c>
    </row>
    <row r="5" ht="30" customHeight="1">
      <c r="A5" s="17" t="inlineStr">
        <is>
          <t>admin</t>
        </is>
      </c>
      <c r="B5" s="16" t="inlineStr">
        <is>
          <t>Administration</t>
        </is>
      </c>
      <c r="C5" s="16" t="inlineStr">
        <is>
          <t>admin@alnour.tn</t>
        </is>
      </c>
      <c r="D5" s="16" t="inlineStr">
        <is>
          <t>office</t>
        </is>
      </c>
      <c r="E5" s="16" t="inlineStr">
        <is>
          <t>Office work: invoices, HR, admissions, documents.</t>
        </is>
      </c>
      <c r="F5" s="16" t="inlineStr">
        <is>
          <t>No access to Settings or Accounts</t>
        </is>
      </c>
    </row>
    <row r="6" ht="30" customHeight="1">
      <c r="A6" s="17" t="inlineStr">
        <is>
          <t>teacher</t>
        </is>
      </c>
      <c r="B6" s="16" t="inlineStr">
        <is>
          <t>Enseignant</t>
        </is>
      </c>
      <c r="C6" s="16" t="inlineStr">
        <is>
          <t>enseignant@alnour.tn</t>
        </is>
      </c>
      <c r="D6" s="16" t="inlineStr">
        <is>
          <t>teacher</t>
        </is>
      </c>
      <c r="E6" s="16" t="inlineStr">
        <is>
          <t>Evaluate, attendance, behavior, gallery, requests.</t>
        </is>
      </c>
      <c r="F6" s="16" t="inlineStr">
        <is>
          <t>Must NOT receive payroll or invoice data</t>
        </is>
      </c>
    </row>
    <row r="7" ht="30" customHeight="1">
      <c r="A7" s="17" t="inlineStr">
        <is>
          <t>teacher (crèche)</t>
        </is>
      </c>
      <c r="B7" s="16" t="inlineStr">
        <is>
          <t>Enseignant</t>
        </is>
      </c>
      <c r="C7" s="16" t="inlineStr">
        <is>
          <t>creche@alnour.tn</t>
        </is>
      </c>
      <c r="D7" s="16" t="inlineStr">
        <is>
          <t>teacher</t>
        </is>
      </c>
      <c r="E7" s="16" t="inlineStr">
        <is>
          <t>Day journal, meals, nap, diaper — early-years modules only.</t>
        </is>
      </c>
      <c r="F7" s="16" t="inlineStr">
        <is>
          <t>Level gating: must not see Timetable</t>
        </is>
      </c>
    </row>
    <row r="8" ht="30" customHeight="1">
      <c r="A8" s="17" t="inlineStr">
        <is>
          <t>supervisor</t>
        </is>
      </c>
      <c r="B8" s="16" t="inlineStr">
        <is>
          <t>Surveillant</t>
        </is>
      </c>
      <c r="C8" s="16" t="inlineStr">
        <is>
          <t>surveillant@alnour.tn</t>
        </is>
      </c>
      <c r="D8" s="16" t="inlineStr">
        <is>
          <t>super</t>
        </is>
      </c>
      <c r="E8" s="16" t="inlineStr">
        <is>
          <t>Incidents, attendance, accidents.</t>
        </is>
      </c>
      <c r="F8" s="16" t="inlineStr">
        <is>
          <t>Restricted read scope</t>
        </is>
      </c>
    </row>
    <row r="9" ht="30" customHeight="1">
      <c r="A9" s="17" t="inlineStr">
        <is>
          <t>security</t>
        </is>
      </c>
      <c r="B9" s="16" t="inlineStr">
        <is>
          <t>Sécurité</t>
        </is>
      </c>
      <c r="C9" s="16" t="inlineStr">
        <is>
          <t>securite@alnour.tn</t>
        </is>
      </c>
      <c r="D9" s="16" t="inlineStr">
        <is>
          <t>secu</t>
        </is>
      </c>
      <c r="E9" s="16" t="inlineStr">
        <is>
          <t>Visitors, rounds, log book, instructions.</t>
        </is>
      </c>
      <c r="F9" s="16" t="inlineStr">
        <is>
          <t>Must NOT see health, evaluations, behavior, photos</t>
        </is>
      </c>
    </row>
    <row r="10" ht="30" customHeight="1">
      <c r="A10" s="17" t="inlineStr">
        <is>
          <t>parent</t>
        </is>
      </c>
      <c r="B10" s="16" t="inlineStr">
        <is>
          <t>Parent</t>
        </is>
      </c>
      <c r="C10" s="16" t="inlineStr">
        <is>
          <t>parent@alnour.tn</t>
        </is>
      </c>
      <c r="D10" s="16" t="inlineStr">
        <is>
          <t>parent</t>
        </is>
      </c>
      <c r="E10" s="16" t="inlineStr">
        <is>
          <t>Own child only: journal, payments, live, gallery, accidents.</t>
        </is>
      </c>
      <c r="F10" s="16" t="inlineStr">
        <is>
          <t>p1 has TWO children — use it to test the child selector</t>
        </is>
      </c>
    </row>
    <row r="11" ht="30" customHeight="1">
      <c r="A11" s="17" t="inlineStr">
        <is>
          <t>parent 2-5</t>
        </is>
      </c>
      <c r="B11" s="16" t="inlineStr">
        <is>
          <t>Parent</t>
        </is>
      </c>
      <c r="C11" s="16" t="inlineStr">
        <is>
          <t>parent2..5@alnour.tn</t>
        </is>
      </c>
      <c r="D11" s="16" t="inlineStr">
        <is>
          <t>parent</t>
        </is>
      </c>
      <c r="E11" s="16" t="inlineStr">
        <is>
          <t>Privacy: must never see another family's child.</t>
        </is>
      </c>
      <c r="F11" s="16" t="inlineStr">
        <is>
          <t>Use to prove data isolation</t>
        </is>
      </c>
    </row>
  </sheetData>
  <autoFilter ref="A2:F2"/>
  <mergeCells count="1">
    <mergeCell ref="A1:F1"/>
  </mergeCells>
  <pageMargins left="0.75" right="0.75" top="1" bottom="1" header="0.5" footer="0.5"/>
</worksheet>
</file>

<file path=xl/worksheets/sheet8.xml><?xml version="1.0" encoding="utf-8"?>
<worksheet xmlns="http://schemas.openxmlformats.org/spreadsheetml/2006/main">
  <sheetPr>
    <tabColor rgb="004361D0"/>
    <outlinePr summaryBelow="1" summaryRight="1"/>
    <pageSetUpPr/>
  </sheetPr>
  <dimension ref="A1:Q60"/>
  <sheetViews>
    <sheetView workbookViewId="0">
      <pane ySplit="2" topLeftCell="A3" activePane="bottomLeft" state="frozen"/>
      <selection pane="bottomLeft" activeCell="A1" sqref="A1"/>
    </sheetView>
  </sheetViews>
  <sheetFormatPr baseColWidth="8" defaultRowHeight="15"/>
  <cols>
    <col width="8" customWidth="1" min="1" max="1"/>
    <col width="22" customWidth="1" min="2" max="2"/>
    <col width="15" customWidth="1" min="3" max="3"/>
    <col width="11" customWidth="1" min="4" max="4"/>
    <col width="11" customWidth="1" min="5" max="5"/>
    <col width="14" customWidth="1" min="6" max="6"/>
    <col width="40" customWidth="1" min="7" max="7"/>
    <col width="10" customWidth="1" min="8" max="8"/>
    <col width="9" customWidth="1" min="9" max="9"/>
    <col width="8" customWidth="1" min="10" max="10"/>
    <col width="9" customWidth="1" min="11" max="11"/>
    <col width="10" customWidth="1" min="12" max="12"/>
    <col width="12" customWidth="1" min="13" max="13"/>
    <col width="11" customWidth="1" min="14" max="14"/>
    <col width="16" customWidth="1" min="15" max="15"/>
    <col width="13" customWidth="1" min="16" max="16"/>
    <col width="34" customWidth="1" min="17" max="17"/>
  </cols>
  <sheetData>
    <row r="1" ht="26" customHeight="1">
      <c r="A1" s="13" t="inlineStr">
        <is>
          <t>TEST CYCLES — one row per round of testing. The Go / No-Go decision is recorded here, with its evidence.</t>
        </is>
      </c>
    </row>
    <row r="2" ht="42" customHeight="1">
      <c r="A2" s="14" t="inlineStr">
        <is>
          <t>Cycle #</t>
        </is>
      </c>
      <c r="B2" s="14" t="inlineStr">
        <is>
          <t>Name / release</t>
        </is>
      </c>
      <c r="C2" s="14" t="inlineStr">
        <is>
          <t>Build / Commit</t>
        </is>
      </c>
      <c r="D2" s="14" t="inlineStr">
        <is>
          <t>Start date</t>
        </is>
      </c>
      <c r="E2" s="14" t="inlineStr">
        <is>
          <t>End date</t>
        </is>
      </c>
      <c r="F2" s="14" t="inlineStr">
        <is>
          <t>Tester(s)</t>
        </is>
      </c>
      <c r="G2" s="14" t="inlineStr">
        <is>
          <t>Scope tested</t>
        </is>
      </c>
      <c r="H2" s="14" t="inlineStr">
        <is>
          <t>Cases run</t>
        </is>
      </c>
      <c r="I2" s="14" t="inlineStr">
        <is>
          <t>Passed</t>
        </is>
      </c>
      <c r="J2" s="14" t="inlineStr">
        <is>
          <t>Failed</t>
        </is>
      </c>
      <c r="K2" s="14" t="inlineStr">
        <is>
          <t>Blocked</t>
        </is>
      </c>
      <c r="L2" s="14" t="inlineStr">
        <is>
          <t>Pass rate</t>
        </is>
      </c>
      <c r="M2" s="14" t="inlineStr">
        <is>
          <t>Open Critical</t>
        </is>
      </c>
      <c r="N2" s="14" t="inlineStr">
        <is>
          <t>Open Major</t>
        </is>
      </c>
      <c r="O2" s="14" t="inlineStr">
        <is>
          <t>Go / No-Go</t>
        </is>
      </c>
      <c r="P2" s="14" t="inlineStr">
        <is>
          <t>Decided by</t>
        </is>
      </c>
      <c r="Q2" s="14" t="inlineStr">
        <is>
          <t>Notes</t>
        </is>
      </c>
    </row>
    <row r="3" ht="64" customHeight="1">
      <c r="A3" s="16" t="n">
        <v>1</v>
      </c>
      <c r="B3" s="16" t="inlineStr">
        <is>
          <t>Recette QA initiale</t>
        </is>
      </c>
      <c r="C3" s="16" t="inlineStr">
        <is>
          <t>42601e8</t>
        </is>
      </c>
      <c r="D3" s="16" t="inlineStr">
        <is>
          <t>2026-07-22</t>
        </is>
      </c>
      <c r="E3" s="16" t="inlineStr">
        <is>
          <t>2026-07-22</t>
        </is>
      </c>
      <c r="F3" s="16" t="inlineStr">
        <is>
          <t>Othman + Claude</t>
        </is>
      </c>
      <c r="G3" s="16" t="inlineStr">
        <is>
          <t>Pages publiques (accueil, connexion, pré-inscription) × 6 tailles ; tableaux de bord × 7 rôles ; parcours mot de passe oublié ; suites automatisées complètes.</t>
        </is>
      </c>
      <c r="H3" s="16" t="n">
        <v>26</v>
      </c>
      <c r="I3" s="16" t="n">
        <v>22</v>
      </c>
      <c r="J3" s="16" t="n">
        <v>4</v>
      </c>
      <c r="K3" s="16" t="n">
        <v>0</v>
      </c>
      <c r="L3" s="18">
        <f>IF(N(H3)=0,"",I3/H3)</f>
        <v/>
      </c>
      <c r="M3" s="16" t="n">
        <v>0</v>
      </c>
      <c r="N3" s="16" t="n">
        <v>0</v>
      </c>
      <c r="O3" s="21" t="inlineStr">
        <is>
          <t>GO</t>
        </is>
      </c>
      <c r="P3" s="16" t="inlineStr">
        <is>
          <t>Othman</t>
        </is>
      </c>
      <c r="Q3" s="16" t="inlineStr">
        <is>
          <t>4 défauts trouvés et corrigés le jour même. 3 demandes livrées. core 54/54 · serveur 15/15 · e2e 131/131 · CI verte · vérifié sur le site réel.</t>
        </is>
      </c>
    </row>
    <row r="4">
      <c r="A4" s="16" t="n"/>
      <c r="B4" s="16" t="n"/>
      <c r="C4" s="16" t="n"/>
      <c r="D4" s="16" t="n"/>
      <c r="E4" s="16" t="n"/>
      <c r="F4" s="16" t="n"/>
      <c r="G4" s="16" t="n"/>
      <c r="H4" s="16" t="n"/>
      <c r="I4" s="16" t="n"/>
      <c r="J4" s="16" t="n"/>
      <c r="K4" s="16" t="n"/>
      <c r="L4" s="18">
        <f>IF(N(H4)=0,"",I4/H4)</f>
        <v/>
      </c>
      <c r="M4" s="16" t="n"/>
      <c r="N4" s="16" t="n"/>
      <c r="O4" s="16" t="n"/>
      <c r="P4" s="16" t="n"/>
      <c r="Q4" s="16" t="n"/>
    </row>
    <row r="5">
      <c r="A5" s="16" t="n"/>
      <c r="B5" s="16" t="n"/>
      <c r="C5" s="16" t="n"/>
      <c r="D5" s="16" t="n"/>
      <c r="E5" s="16" t="n"/>
      <c r="F5" s="16" t="n"/>
      <c r="G5" s="16" t="n"/>
      <c r="H5" s="16" t="n"/>
      <c r="I5" s="16" t="n"/>
      <c r="J5" s="16" t="n"/>
      <c r="K5" s="16" t="n"/>
      <c r="L5" s="18">
        <f>IF(N(H5)=0,"",I5/H5)</f>
        <v/>
      </c>
      <c r="M5" s="16" t="n"/>
      <c r="N5" s="16" t="n"/>
      <c r="O5" s="16" t="n"/>
      <c r="P5" s="16" t="n"/>
      <c r="Q5" s="16" t="n"/>
    </row>
    <row r="6">
      <c r="A6" s="16" t="n"/>
      <c r="B6" s="16" t="n"/>
      <c r="C6" s="16" t="n"/>
      <c r="D6" s="16" t="n"/>
      <c r="E6" s="16" t="n"/>
      <c r="F6" s="16" t="n"/>
      <c r="G6" s="16" t="n"/>
      <c r="H6" s="16" t="n"/>
      <c r="I6" s="16" t="n"/>
      <c r="J6" s="16" t="n"/>
      <c r="K6" s="16" t="n"/>
      <c r="L6" s="18">
        <f>IF(N(H6)=0,"",I6/H6)</f>
        <v/>
      </c>
      <c r="M6" s="16" t="n"/>
      <c r="N6" s="16" t="n"/>
      <c r="O6" s="16" t="n"/>
      <c r="P6" s="16" t="n"/>
      <c r="Q6" s="16" t="n"/>
    </row>
    <row r="7">
      <c r="A7" s="16" t="n"/>
      <c r="B7" s="16" t="n"/>
      <c r="C7" s="16" t="n"/>
      <c r="D7" s="16" t="n"/>
      <c r="E7" s="16" t="n"/>
      <c r="F7" s="16" t="n"/>
      <c r="G7" s="16" t="n"/>
      <c r="H7" s="16" t="n"/>
      <c r="I7" s="16" t="n"/>
      <c r="J7" s="16" t="n"/>
      <c r="K7" s="16" t="n"/>
      <c r="L7" s="18">
        <f>IF(N(H7)=0,"",I7/H7)</f>
        <v/>
      </c>
      <c r="M7" s="16" t="n"/>
      <c r="N7" s="16" t="n"/>
      <c r="O7" s="16" t="n"/>
      <c r="P7" s="16" t="n"/>
      <c r="Q7" s="16" t="n"/>
    </row>
    <row r="8">
      <c r="A8" s="16" t="n"/>
      <c r="B8" s="16" t="n"/>
      <c r="C8" s="16" t="n"/>
      <c r="D8" s="16" t="n"/>
      <c r="E8" s="16" t="n"/>
      <c r="F8" s="16" t="n"/>
      <c r="G8" s="16" t="n"/>
      <c r="H8" s="16" t="n"/>
      <c r="I8" s="16" t="n"/>
      <c r="J8" s="16" t="n"/>
      <c r="K8" s="16" t="n"/>
      <c r="L8" s="18">
        <f>IF(N(H8)=0,"",I8/H8)</f>
        <v/>
      </c>
      <c r="M8" s="16" t="n"/>
      <c r="N8" s="16" t="n"/>
      <c r="O8" s="16" t="n"/>
      <c r="P8" s="16" t="n"/>
      <c r="Q8" s="16" t="n"/>
    </row>
    <row r="9">
      <c r="A9" s="16" t="n"/>
      <c r="B9" s="16" t="n"/>
      <c r="C9" s="16" t="n"/>
      <c r="D9" s="16" t="n"/>
      <c r="E9" s="16" t="n"/>
      <c r="F9" s="16" t="n"/>
      <c r="G9" s="16" t="n"/>
      <c r="H9" s="16" t="n"/>
      <c r="I9" s="16" t="n"/>
      <c r="J9" s="16" t="n"/>
      <c r="K9" s="16" t="n"/>
      <c r="L9" s="18">
        <f>IF(N(H9)=0,"",I9/H9)</f>
        <v/>
      </c>
      <c r="M9" s="16" t="n"/>
      <c r="N9" s="16" t="n"/>
      <c r="O9" s="16" t="n"/>
      <c r="P9" s="16" t="n"/>
      <c r="Q9" s="16" t="n"/>
    </row>
    <row r="10">
      <c r="A10" s="16" t="n"/>
      <c r="B10" s="16" t="n"/>
      <c r="C10" s="16" t="n"/>
      <c r="D10" s="16" t="n"/>
      <c r="E10" s="16" t="n"/>
      <c r="F10" s="16" t="n"/>
      <c r="G10" s="16" t="n"/>
      <c r="H10" s="16" t="n"/>
      <c r="I10" s="16" t="n"/>
      <c r="J10" s="16" t="n"/>
      <c r="K10" s="16" t="n"/>
      <c r="L10" s="18">
        <f>IF(N(H10)=0,"",I10/H10)</f>
        <v/>
      </c>
      <c r="M10" s="16" t="n"/>
      <c r="N10" s="16" t="n"/>
      <c r="O10" s="16" t="n"/>
      <c r="P10" s="16" t="n"/>
      <c r="Q10" s="16" t="n"/>
    </row>
    <row r="11">
      <c r="A11" s="16" t="n"/>
      <c r="B11" s="16" t="n"/>
      <c r="C11" s="16" t="n"/>
      <c r="D11" s="16" t="n"/>
      <c r="E11" s="16" t="n"/>
      <c r="F11" s="16" t="n"/>
      <c r="G11" s="16" t="n"/>
      <c r="H11" s="16" t="n"/>
      <c r="I11" s="16" t="n"/>
      <c r="J11" s="16" t="n"/>
      <c r="K11" s="16" t="n"/>
      <c r="L11" s="18">
        <f>IF(N(H11)=0,"",I11/H11)</f>
        <v/>
      </c>
      <c r="M11" s="16" t="n"/>
      <c r="N11" s="16" t="n"/>
      <c r="O11" s="16" t="n"/>
      <c r="P11" s="16" t="n"/>
      <c r="Q11" s="16" t="n"/>
    </row>
    <row r="12">
      <c r="A12" s="16" t="n"/>
      <c r="B12" s="16" t="n"/>
      <c r="C12" s="16" t="n"/>
      <c r="D12" s="16" t="n"/>
      <c r="E12" s="16" t="n"/>
      <c r="F12" s="16" t="n"/>
      <c r="G12" s="16" t="n"/>
      <c r="H12" s="16" t="n"/>
      <c r="I12" s="16" t="n"/>
      <c r="J12" s="16" t="n"/>
      <c r="K12" s="16" t="n"/>
      <c r="L12" s="18">
        <f>IF(N(H12)=0,"",I12/H12)</f>
        <v/>
      </c>
      <c r="M12" s="16" t="n"/>
      <c r="N12" s="16" t="n"/>
      <c r="O12" s="16" t="n"/>
      <c r="P12" s="16" t="n"/>
      <c r="Q12" s="16" t="n"/>
    </row>
    <row r="13">
      <c r="A13" s="16" t="n"/>
      <c r="B13" s="16" t="n"/>
      <c r="C13" s="16" t="n"/>
      <c r="D13" s="16" t="n"/>
      <c r="E13" s="16" t="n"/>
      <c r="F13" s="16" t="n"/>
      <c r="G13" s="16" t="n"/>
      <c r="H13" s="16" t="n"/>
      <c r="I13" s="16" t="n"/>
      <c r="J13" s="16" t="n"/>
      <c r="K13" s="16" t="n"/>
      <c r="L13" s="18">
        <f>IF(N(H13)=0,"",I13/H13)</f>
        <v/>
      </c>
      <c r="M13" s="16" t="n"/>
      <c r="N13" s="16" t="n"/>
      <c r="O13" s="16" t="n"/>
      <c r="P13" s="16" t="n"/>
      <c r="Q13" s="16" t="n"/>
    </row>
    <row r="14">
      <c r="A14" s="16" t="n"/>
      <c r="B14" s="16" t="n"/>
      <c r="C14" s="16" t="n"/>
      <c r="D14" s="16" t="n"/>
      <c r="E14" s="16" t="n"/>
      <c r="F14" s="16" t="n"/>
      <c r="G14" s="16" t="n"/>
      <c r="H14" s="16" t="n"/>
      <c r="I14" s="16" t="n"/>
      <c r="J14" s="16" t="n"/>
      <c r="K14" s="16" t="n"/>
      <c r="L14" s="18">
        <f>IF(N(H14)=0,"",I14/H14)</f>
        <v/>
      </c>
      <c r="M14" s="16" t="n"/>
      <c r="N14" s="16" t="n"/>
      <c r="O14" s="16" t="n"/>
      <c r="P14" s="16" t="n"/>
      <c r="Q14" s="16" t="n"/>
    </row>
    <row r="15">
      <c r="A15" s="16" t="n"/>
      <c r="B15" s="16" t="n"/>
      <c r="C15" s="16" t="n"/>
      <c r="D15" s="16" t="n"/>
      <c r="E15" s="16" t="n"/>
      <c r="F15" s="16" t="n"/>
      <c r="G15" s="16" t="n"/>
      <c r="H15" s="16" t="n"/>
      <c r="I15" s="16" t="n"/>
      <c r="J15" s="16" t="n"/>
      <c r="K15" s="16" t="n"/>
      <c r="L15" s="18">
        <f>IF(N(H15)=0,"",I15/H15)</f>
        <v/>
      </c>
      <c r="M15" s="16" t="n"/>
      <c r="N15" s="16" t="n"/>
      <c r="O15" s="16" t="n"/>
      <c r="P15" s="16" t="n"/>
      <c r="Q15" s="16" t="n"/>
    </row>
    <row r="16">
      <c r="A16" s="16" t="n"/>
      <c r="B16" s="16" t="n"/>
      <c r="C16" s="16" t="n"/>
      <c r="D16" s="16" t="n"/>
      <c r="E16" s="16" t="n"/>
      <c r="F16" s="16" t="n"/>
      <c r="G16" s="16" t="n"/>
      <c r="H16" s="16" t="n"/>
      <c r="I16" s="16" t="n"/>
      <c r="J16" s="16" t="n"/>
      <c r="K16" s="16" t="n"/>
      <c r="L16" s="18">
        <f>IF(N(H16)=0,"",I16/H16)</f>
        <v/>
      </c>
      <c r="M16" s="16" t="n"/>
      <c r="N16" s="16" t="n"/>
      <c r="O16" s="16" t="n"/>
      <c r="P16" s="16" t="n"/>
      <c r="Q16" s="16" t="n"/>
    </row>
    <row r="17">
      <c r="A17" s="16" t="n"/>
      <c r="B17" s="16" t="n"/>
      <c r="C17" s="16" t="n"/>
      <c r="D17" s="16" t="n"/>
      <c r="E17" s="16" t="n"/>
      <c r="F17" s="16" t="n"/>
      <c r="G17" s="16" t="n"/>
      <c r="H17" s="16" t="n"/>
      <c r="I17" s="16" t="n"/>
      <c r="J17" s="16" t="n"/>
      <c r="K17" s="16" t="n"/>
      <c r="L17" s="18">
        <f>IF(N(H17)=0,"",I17/H17)</f>
        <v/>
      </c>
      <c r="M17" s="16" t="n"/>
      <c r="N17" s="16" t="n"/>
      <c r="O17" s="16" t="n"/>
      <c r="P17" s="16" t="n"/>
      <c r="Q17" s="16" t="n"/>
    </row>
    <row r="18">
      <c r="A18" s="16" t="n"/>
      <c r="B18" s="16" t="n"/>
      <c r="C18" s="16" t="n"/>
      <c r="D18" s="16" t="n"/>
      <c r="E18" s="16" t="n"/>
      <c r="F18" s="16" t="n"/>
      <c r="G18" s="16" t="n"/>
      <c r="H18" s="16" t="n"/>
      <c r="I18" s="16" t="n"/>
      <c r="J18" s="16" t="n"/>
      <c r="K18" s="16" t="n"/>
      <c r="L18" s="18">
        <f>IF(N(H18)=0,"",I18/H18)</f>
        <v/>
      </c>
      <c r="M18" s="16" t="n"/>
      <c r="N18" s="16" t="n"/>
      <c r="O18" s="16" t="n"/>
      <c r="P18" s="16" t="n"/>
      <c r="Q18" s="16" t="n"/>
    </row>
    <row r="19">
      <c r="A19" s="16" t="n"/>
      <c r="B19" s="16" t="n"/>
      <c r="C19" s="16" t="n"/>
      <c r="D19" s="16" t="n"/>
      <c r="E19" s="16" t="n"/>
      <c r="F19" s="16" t="n"/>
      <c r="G19" s="16" t="n"/>
      <c r="H19" s="16" t="n"/>
      <c r="I19" s="16" t="n"/>
      <c r="J19" s="16" t="n"/>
      <c r="K19" s="16" t="n"/>
      <c r="L19" s="18">
        <f>IF(N(H19)=0,"",I19/H19)</f>
        <v/>
      </c>
      <c r="M19" s="16" t="n"/>
      <c r="N19" s="16" t="n"/>
      <c r="O19" s="16" t="n"/>
      <c r="P19" s="16" t="n"/>
      <c r="Q19" s="16" t="n"/>
    </row>
    <row r="20">
      <c r="A20" s="16" t="n"/>
      <c r="B20" s="16" t="n"/>
      <c r="C20" s="16" t="n"/>
      <c r="D20" s="16" t="n"/>
      <c r="E20" s="16" t="n"/>
      <c r="F20" s="16" t="n"/>
      <c r="G20" s="16" t="n"/>
      <c r="H20" s="16" t="n"/>
      <c r="I20" s="16" t="n"/>
      <c r="J20" s="16" t="n"/>
      <c r="K20" s="16" t="n"/>
      <c r="L20" s="18">
        <f>IF(N(H20)=0,"",I20/H20)</f>
        <v/>
      </c>
      <c r="M20" s="16" t="n"/>
      <c r="N20" s="16" t="n"/>
      <c r="O20" s="16" t="n"/>
      <c r="P20" s="16" t="n"/>
      <c r="Q20" s="16" t="n"/>
    </row>
    <row r="21">
      <c r="A21" s="16" t="n"/>
      <c r="B21" s="16" t="n"/>
      <c r="C21" s="16" t="n"/>
      <c r="D21" s="16" t="n"/>
      <c r="E21" s="16" t="n"/>
      <c r="F21" s="16" t="n"/>
      <c r="G21" s="16" t="n"/>
      <c r="H21" s="16" t="n"/>
      <c r="I21" s="16" t="n"/>
      <c r="J21" s="16" t="n"/>
      <c r="K21" s="16" t="n"/>
      <c r="L21" s="18">
        <f>IF(N(H21)=0,"",I21/H21)</f>
        <v/>
      </c>
      <c r="M21" s="16" t="n"/>
      <c r="N21" s="16" t="n"/>
      <c r="O21" s="16" t="n"/>
      <c r="P21" s="16" t="n"/>
      <c r="Q21" s="16" t="n"/>
    </row>
    <row r="22">
      <c r="A22" s="16" t="n"/>
      <c r="B22" s="16" t="n"/>
      <c r="C22" s="16" t="n"/>
      <c r="D22" s="16" t="n"/>
      <c r="E22" s="16" t="n"/>
      <c r="F22" s="16" t="n"/>
      <c r="G22" s="16" t="n"/>
      <c r="H22" s="16" t="n"/>
      <c r="I22" s="16" t="n"/>
      <c r="J22" s="16" t="n"/>
      <c r="K22" s="16" t="n"/>
      <c r="L22" s="18">
        <f>IF(N(H22)=0,"",I22/H22)</f>
        <v/>
      </c>
      <c r="M22" s="16" t="n"/>
      <c r="N22" s="16" t="n"/>
      <c r="O22" s="16" t="n"/>
      <c r="P22" s="16" t="n"/>
      <c r="Q22" s="16" t="n"/>
    </row>
    <row r="23">
      <c r="A23" s="16" t="n"/>
      <c r="B23" s="16" t="n"/>
      <c r="C23" s="16" t="n"/>
      <c r="D23" s="16" t="n"/>
      <c r="E23" s="16" t="n"/>
      <c r="F23" s="16" t="n"/>
      <c r="G23" s="16" t="n"/>
      <c r="H23" s="16" t="n"/>
      <c r="I23" s="16" t="n"/>
      <c r="J23" s="16" t="n"/>
      <c r="K23" s="16" t="n"/>
      <c r="L23" s="18">
        <f>IF(N(H23)=0,"",I23/H23)</f>
        <v/>
      </c>
      <c r="M23" s="16" t="n"/>
      <c r="N23" s="16" t="n"/>
      <c r="O23" s="16" t="n"/>
      <c r="P23" s="16" t="n"/>
      <c r="Q23" s="16" t="n"/>
    </row>
    <row r="24">
      <c r="A24" s="16" t="n"/>
      <c r="B24" s="16" t="n"/>
      <c r="C24" s="16" t="n"/>
      <c r="D24" s="16" t="n"/>
      <c r="E24" s="16" t="n"/>
      <c r="F24" s="16" t="n"/>
      <c r="G24" s="16" t="n"/>
      <c r="H24" s="16" t="n"/>
      <c r="I24" s="16" t="n"/>
      <c r="J24" s="16" t="n"/>
      <c r="K24" s="16" t="n"/>
      <c r="L24" s="18">
        <f>IF(N(H24)=0,"",I24/H24)</f>
        <v/>
      </c>
      <c r="M24" s="16" t="n"/>
      <c r="N24" s="16" t="n"/>
      <c r="O24" s="16" t="n"/>
      <c r="P24" s="16" t="n"/>
      <c r="Q24" s="16" t="n"/>
    </row>
    <row r="25">
      <c r="A25" s="16" t="n"/>
      <c r="B25" s="16" t="n"/>
      <c r="C25" s="16" t="n"/>
      <c r="D25" s="16" t="n"/>
      <c r="E25" s="16" t="n"/>
      <c r="F25" s="16" t="n"/>
      <c r="G25" s="16" t="n"/>
      <c r="H25" s="16" t="n"/>
      <c r="I25" s="16" t="n"/>
      <c r="J25" s="16" t="n"/>
      <c r="K25" s="16" t="n"/>
      <c r="L25" s="18">
        <f>IF(N(H25)=0,"",I25/H25)</f>
        <v/>
      </c>
      <c r="M25" s="16" t="n"/>
      <c r="N25" s="16" t="n"/>
      <c r="O25" s="16" t="n"/>
      <c r="P25" s="16" t="n"/>
      <c r="Q25" s="16" t="n"/>
    </row>
    <row r="26">
      <c r="A26" s="16" t="n"/>
      <c r="B26" s="16" t="n"/>
      <c r="C26" s="16" t="n"/>
      <c r="D26" s="16" t="n"/>
      <c r="E26" s="16" t="n"/>
      <c r="F26" s="16" t="n"/>
      <c r="G26" s="16" t="n"/>
      <c r="H26" s="16" t="n"/>
      <c r="I26" s="16" t="n"/>
      <c r="J26" s="16" t="n"/>
      <c r="K26" s="16" t="n"/>
      <c r="L26" s="18">
        <f>IF(N(H26)=0,"",I26/H26)</f>
        <v/>
      </c>
      <c r="M26" s="16" t="n"/>
      <c r="N26" s="16" t="n"/>
      <c r="O26" s="16" t="n"/>
      <c r="P26" s="16" t="n"/>
      <c r="Q26" s="16" t="n"/>
    </row>
    <row r="27">
      <c r="A27" s="16" t="n"/>
      <c r="B27" s="16" t="n"/>
      <c r="C27" s="16" t="n"/>
      <c r="D27" s="16" t="n"/>
      <c r="E27" s="16" t="n"/>
      <c r="F27" s="16" t="n"/>
      <c r="G27" s="16" t="n"/>
      <c r="H27" s="16" t="n"/>
      <c r="I27" s="16" t="n"/>
      <c r="J27" s="16" t="n"/>
      <c r="K27" s="16" t="n"/>
      <c r="L27" s="18">
        <f>IF(N(H27)=0,"",I27/H27)</f>
        <v/>
      </c>
      <c r="M27" s="16" t="n"/>
      <c r="N27" s="16" t="n"/>
      <c r="O27" s="16" t="n"/>
      <c r="P27" s="16" t="n"/>
      <c r="Q27" s="16" t="n"/>
    </row>
    <row r="28">
      <c r="A28" s="16" t="n"/>
      <c r="B28" s="16" t="n"/>
      <c r="C28" s="16" t="n"/>
      <c r="D28" s="16" t="n"/>
      <c r="E28" s="16" t="n"/>
      <c r="F28" s="16" t="n"/>
      <c r="G28" s="16" t="n"/>
      <c r="H28" s="16" t="n"/>
      <c r="I28" s="16" t="n"/>
      <c r="J28" s="16" t="n"/>
      <c r="K28" s="16" t="n"/>
      <c r="L28" s="18">
        <f>IF(N(H28)=0,"",I28/H28)</f>
        <v/>
      </c>
      <c r="M28" s="16" t="n"/>
      <c r="N28" s="16" t="n"/>
      <c r="O28" s="16" t="n"/>
      <c r="P28" s="16" t="n"/>
      <c r="Q28" s="16" t="n"/>
    </row>
    <row r="29">
      <c r="A29" s="16" t="n"/>
      <c r="B29" s="16" t="n"/>
      <c r="C29" s="16" t="n"/>
      <c r="D29" s="16" t="n"/>
      <c r="E29" s="16" t="n"/>
      <c r="F29" s="16" t="n"/>
      <c r="G29" s="16" t="n"/>
      <c r="H29" s="16" t="n"/>
      <c r="I29" s="16" t="n"/>
      <c r="J29" s="16" t="n"/>
      <c r="K29" s="16" t="n"/>
      <c r="L29" s="18">
        <f>IF(N(H29)=0,"",I29/H29)</f>
        <v/>
      </c>
      <c r="M29" s="16" t="n"/>
      <c r="N29" s="16" t="n"/>
      <c r="O29" s="16" t="n"/>
      <c r="P29" s="16" t="n"/>
      <c r="Q29" s="16" t="n"/>
    </row>
    <row r="30">
      <c r="A30" s="16" t="n"/>
      <c r="B30" s="16" t="n"/>
      <c r="C30" s="16" t="n"/>
      <c r="D30" s="16" t="n"/>
      <c r="E30" s="16" t="n"/>
      <c r="F30" s="16" t="n"/>
      <c r="G30" s="16" t="n"/>
      <c r="H30" s="16" t="n"/>
      <c r="I30" s="16" t="n"/>
      <c r="J30" s="16" t="n"/>
      <c r="K30" s="16" t="n"/>
      <c r="L30" s="18">
        <f>IF(N(H30)=0,"",I30/H30)</f>
        <v/>
      </c>
      <c r="M30" s="16" t="n"/>
      <c r="N30" s="16" t="n"/>
      <c r="O30" s="16" t="n"/>
      <c r="P30" s="16" t="n"/>
      <c r="Q30" s="16" t="n"/>
    </row>
    <row r="31">
      <c r="A31" s="16" t="n"/>
      <c r="B31" s="16" t="n"/>
      <c r="C31" s="16" t="n"/>
      <c r="D31" s="16" t="n"/>
      <c r="E31" s="16" t="n"/>
      <c r="F31" s="16" t="n"/>
      <c r="G31" s="16" t="n"/>
      <c r="H31" s="16" t="n"/>
      <c r="I31" s="16" t="n"/>
      <c r="J31" s="16" t="n"/>
      <c r="K31" s="16" t="n"/>
      <c r="L31" s="18">
        <f>IF(N(H31)=0,"",I31/H31)</f>
        <v/>
      </c>
      <c r="M31" s="16" t="n"/>
      <c r="N31" s="16" t="n"/>
      <c r="O31" s="16" t="n"/>
      <c r="P31" s="16" t="n"/>
      <c r="Q31" s="16" t="n"/>
    </row>
    <row r="32">
      <c r="A32" s="16" t="n"/>
      <c r="B32" s="16" t="n"/>
      <c r="C32" s="16" t="n"/>
      <c r="D32" s="16" t="n"/>
      <c r="E32" s="16" t="n"/>
      <c r="F32" s="16" t="n"/>
      <c r="G32" s="16" t="n"/>
      <c r="H32" s="16" t="n"/>
      <c r="I32" s="16" t="n"/>
      <c r="J32" s="16" t="n"/>
      <c r="K32" s="16" t="n"/>
      <c r="L32" s="18">
        <f>IF(N(H32)=0,"",I32/H32)</f>
        <v/>
      </c>
      <c r="M32" s="16" t="n"/>
      <c r="N32" s="16" t="n"/>
      <c r="O32" s="16" t="n"/>
      <c r="P32" s="16" t="n"/>
      <c r="Q32" s="16" t="n"/>
    </row>
    <row r="33">
      <c r="A33" s="16" t="n"/>
      <c r="B33" s="16" t="n"/>
      <c r="C33" s="16" t="n"/>
      <c r="D33" s="16" t="n"/>
      <c r="E33" s="16" t="n"/>
      <c r="F33" s="16" t="n"/>
      <c r="G33" s="16" t="n"/>
      <c r="H33" s="16" t="n"/>
      <c r="I33" s="16" t="n"/>
      <c r="J33" s="16" t="n"/>
      <c r="K33" s="16" t="n"/>
      <c r="L33" s="18">
        <f>IF(N(H33)=0,"",I33/H33)</f>
        <v/>
      </c>
      <c r="M33" s="16" t="n"/>
      <c r="N33" s="16" t="n"/>
      <c r="O33" s="16" t="n"/>
      <c r="P33" s="16" t="n"/>
      <c r="Q33" s="16" t="n"/>
    </row>
    <row r="34">
      <c r="A34" s="16" t="n"/>
      <c r="B34" s="16" t="n"/>
      <c r="C34" s="16" t="n"/>
      <c r="D34" s="16" t="n"/>
      <c r="E34" s="16" t="n"/>
      <c r="F34" s="16" t="n"/>
      <c r="G34" s="16" t="n"/>
      <c r="H34" s="16" t="n"/>
      <c r="I34" s="16" t="n"/>
      <c r="J34" s="16" t="n"/>
      <c r="K34" s="16" t="n"/>
      <c r="L34" s="18">
        <f>IF(N(H34)=0,"",I34/H34)</f>
        <v/>
      </c>
      <c r="M34" s="16" t="n"/>
      <c r="N34" s="16" t="n"/>
      <c r="O34" s="16" t="n"/>
      <c r="P34" s="16" t="n"/>
      <c r="Q34" s="16" t="n"/>
    </row>
    <row r="35">
      <c r="A35" s="16" t="n"/>
      <c r="B35" s="16" t="n"/>
      <c r="C35" s="16" t="n"/>
      <c r="D35" s="16" t="n"/>
      <c r="E35" s="16" t="n"/>
      <c r="F35" s="16" t="n"/>
      <c r="G35" s="16" t="n"/>
      <c r="H35" s="16" t="n"/>
      <c r="I35" s="16" t="n"/>
      <c r="J35" s="16" t="n"/>
      <c r="K35" s="16" t="n"/>
      <c r="L35" s="18">
        <f>IF(N(H35)=0,"",I35/H35)</f>
        <v/>
      </c>
      <c r="M35" s="16" t="n"/>
      <c r="N35" s="16" t="n"/>
      <c r="O35" s="16" t="n"/>
      <c r="P35" s="16" t="n"/>
      <c r="Q35" s="16" t="n"/>
    </row>
    <row r="36">
      <c r="A36" s="16" t="n"/>
      <c r="B36" s="16" t="n"/>
      <c r="C36" s="16" t="n"/>
      <c r="D36" s="16" t="n"/>
      <c r="E36" s="16" t="n"/>
      <c r="F36" s="16" t="n"/>
      <c r="G36" s="16" t="n"/>
      <c r="H36" s="16" t="n"/>
      <c r="I36" s="16" t="n"/>
      <c r="J36" s="16" t="n"/>
      <c r="K36" s="16" t="n"/>
      <c r="L36" s="18">
        <f>IF(N(H36)=0,"",I36/H36)</f>
        <v/>
      </c>
      <c r="M36" s="16" t="n"/>
      <c r="N36" s="16" t="n"/>
      <c r="O36" s="16" t="n"/>
      <c r="P36" s="16" t="n"/>
      <c r="Q36" s="16" t="n"/>
    </row>
    <row r="37">
      <c r="A37" s="16" t="n"/>
      <c r="B37" s="16" t="n"/>
      <c r="C37" s="16" t="n"/>
      <c r="D37" s="16" t="n"/>
      <c r="E37" s="16" t="n"/>
      <c r="F37" s="16" t="n"/>
      <c r="G37" s="16" t="n"/>
      <c r="H37" s="16" t="n"/>
      <c r="I37" s="16" t="n"/>
      <c r="J37" s="16" t="n"/>
      <c r="K37" s="16" t="n"/>
      <c r="L37" s="18">
        <f>IF(N(H37)=0,"",I37/H37)</f>
        <v/>
      </c>
      <c r="M37" s="16" t="n"/>
      <c r="N37" s="16" t="n"/>
      <c r="O37" s="16" t="n"/>
      <c r="P37" s="16" t="n"/>
      <c r="Q37" s="16" t="n"/>
    </row>
    <row r="38">
      <c r="A38" s="16" t="n"/>
      <c r="B38" s="16" t="n"/>
      <c r="C38" s="16" t="n"/>
      <c r="D38" s="16" t="n"/>
      <c r="E38" s="16" t="n"/>
      <c r="F38" s="16" t="n"/>
      <c r="G38" s="16" t="n"/>
      <c r="H38" s="16" t="n"/>
      <c r="I38" s="16" t="n"/>
      <c r="J38" s="16" t="n"/>
      <c r="K38" s="16" t="n"/>
      <c r="L38" s="18">
        <f>IF(N(H38)=0,"",I38/H38)</f>
        <v/>
      </c>
      <c r="M38" s="16" t="n"/>
      <c r="N38" s="16" t="n"/>
      <c r="O38" s="16" t="n"/>
      <c r="P38" s="16" t="n"/>
      <c r="Q38" s="16" t="n"/>
    </row>
    <row r="39">
      <c r="A39" s="16" t="n"/>
      <c r="B39" s="16" t="n"/>
      <c r="C39" s="16" t="n"/>
      <c r="D39" s="16" t="n"/>
      <c r="E39" s="16" t="n"/>
      <c r="F39" s="16" t="n"/>
      <c r="G39" s="16" t="n"/>
      <c r="H39" s="16" t="n"/>
      <c r="I39" s="16" t="n"/>
      <c r="J39" s="16" t="n"/>
      <c r="K39" s="16" t="n"/>
      <c r="L39" s="18">
        <f>IF(N(H39)=0,"",I39/H39)</f>
        <v/>
      </c>
      <c r="M39" s="16" t="n"/>
      <c r="N39" s="16" t="n"/>
      <c r="O39" s="16" t="n"/>
      <c r="P39" s="16" t="n"/>
      <c r="Q39" s="16" t="n"/>
    </row>
    <row r="40">
      <c r="A40" s="16" t="n"/>
      <c r="B40" s="16" t="n"/>
      <c r="C40" s="16" t="n"/>
      <c r="D40" s="16" t="n"/>
      <c r="E40" s="16" t="n"/>
      <c r="F40" s="16" t="n"/>
      <c r="G40" s="16" t="n"/>
      <c r="H40" s="16" t="n"/>
      <c r="I40" s="16" t="n"/>
      <c r="J40" s="16" t="n"/>
      <c r="K40" s="16" t="n"/>
      <c r="L40" s="18">
        <f>IF(N(H40)=0,"",I40/H40)</f>
        <v/>
      </c>
      <c r="M40" s="16" t="n"/>
      <c r="N40" s="16" t="n"/>
      <c r="O40" s="16" t="n"/>
      <c r="P40" s="16" t="n"/>
      <c r="Q40" s="16" t="n"/>
    </row>
    <row r="41">
      <c r="A41" s="16" t="n"/>
      <c r="B41" s="16" t="n"/>
      <c r="C41" s="16" t="n"/>
      <c r="D41" s="16" t="n"/>
      <c r="E41" s="16" t="n"/>
      <c r="F41" s="16" t="n"/>
      <c r="G41" s="16" t="n"/>
      <c r="H41" s="16" t="n"/>
      <c r="I41" s="16" t="n"/>
      <c r="J41" s="16" t="n"/>
      <c r="K41" s="16" t="n"/>
      <c r="L41" s="18">
        <f>IF(N(H41)=0,"",I41/H41)</f>
        <v/>
      </c>
      <c r="M41" s="16" t="n"/>
      <c r="N41" s="16" t="n"/>
      <c r="O41" s="16" t="n"/>
      <c r="P41" s="16" t="n"/>
      <c r="Q41" s="16" t="n"/>
    </row>
    <row r="42">
      <c r="A42" s="16" t="n"/>
      <c r="B42" s="16" t="n"/>
      <c r="C42" s="16" t="n"/>
      <c r="D42" s="16" t="n"/>
      <c r="E42" s="16" t="n"/>
      <c r="F42" s="16" t="n"/>
      <c r="G42" s="16" t="n"/>
      <c r="H42" s="16" t="n"/>
      <c r="I42" s="16" t="n"/>
      <c r="J42" s="16" t="n"/>
      <c r="K42" s="16" t="n"/>
      <c r="L42" s="18">
        <f>IF(N(H42)=0,"",I42/H42)</f>
        <v/>
      </c>
      <c r="M42" s="16" t="n"/>
      <c r="N42" s="16" t="n"/>
      <c r="O42" s="16" t="n"/>
      <c r="P42" s="16" t="n"/>
      <c r="Q42" s="16" t="n"/>
    </row>
    <row r="43">
      <c r="A43" s="16" t="n"/>
      <c r="B43" s="16" t="n"/>
      <c r="C43" s="16" t="n"/>
      <c r="D43" s="16" t="n"/>
      <c r="E43" s="16" t="n"/>
      <c r="F43" s="16" t="n"/>
      <c r="G43" s="16" t="n"/>
      <c r="H43" s="16" t="n"/>
      <c r="I43" s="16" t="n"/>
      <c r="J43" s="16" t="n"/>
      <c r="K43" s="16" t="n"/>
      <c r="L43" s="18">
        <f>IF(N(H43)=0,"",I43/H43)</f>
        <v/>
      </c>
      <c r="M43" s="16" t="n"/>
      <c r="N43" s="16" t="n"/>
      <c r="O43" s="16" t="n"/>
      <c r="P43" s="16" t="n"/>
      <c r="Q43" s="16" t="n"/>
    </row>
    <row r="44">
      <c r="A44" s="16" t="n"/>
      <c r="B44" s="16" t="n"/>
      <c r="C44" s="16" t="n"/>
      <c r="D44" s="16" t="n"/>
      <c r="E44" s="16" t="n"/>
      <c r="F44" s="16" t="n"/>
      <c r="G44" s="16" t="n"/>
      <c r="H44" s="16" t="n"/>
      <c r="I44" s="16" t="n"/>
      <c r="J44" s="16" t="n"/>
      <c r="K44" s="16" t="n"/>
      <c r="L44" s="18">
        <f>IF(N(H44)=0,"",I44/H44)</f>
        <v/>
      </c>
      <c r="M44" s="16" t="n"/>
      <c r="N44" s="16" t="n"/>
      <c r="O44" s="16" t="n"/>
      <c r="P44" s="16" t="n"/>
      <c r="Q44" s="16" t="n"/>
    </row>
    <row r="45">
      <c r="A45" s="16" t="n"/>
      <c r="B45" s="16" t="n"/>
      <c r="C45" s="16" t="n"/>
      <c r="D45" s="16" t="n"/>
      <c r="E45" s="16" t="n"/>
      <c r="F45" s="16" t="n"/>
      <c r="G45" s="16" t="n"/>
      <c r="H45" s="16" t="n"/>
      <c r="I45" s="16" t="n"/>
      <c r="J45" s="16" t="n"/>
      <c r="K45" s="16" t="n"/>
      <c r="L45" s="18">
        <f>IF(N(H45)=0,"",I45/H45)</f>
        <v/>
      </c>
      <c r="M45" s="16" t="n"/>
      <c r="N45" s="16" t="n"/>
      <c r="O45" s="16" t="n"/>
      <c r="P45" s="16" t="n"/>
      <c r="Q45" s="16" t="n"/>
    </row>
    <row r="46">
      <c r="A46" s="16" t="n"/>
      <c r="B46" s="16" t="n"/>
      <c r="C46" s="16" t="n"/>
      <c r="D46" s="16" t="n"/>
      <c r="E46" s="16" t="n"/>
      <c r="F46" s="16" t="n"/>
      <c r="G46" s="16" t="n"/>
      <c r="H46" s="16" t="n"/>
      <c r="I46" s="16" t="n"/>
      <c r="J46" s="16" t="n"/>
      <c r="K46" s="16" t="n"/>
      <c r="L46" s="18">
        <f>IF(N(H46)=0,"",I46/H46)</f>
        <v/>
      </c>
      <c r="M46" s="16" t="n"/>
      <c r="N46" s="16" t="n"/>
      <c r="O46" s="16" t="n"/>
      <c r="P46" s="16" t="n"/>
      <c r="Q46" s="16" t="n"/>
    </row>
    <row r="47">
      <c r="A47" s="16" t="n"/>
      <c r="B47" s="16" t="n"/>
      <c r="C47" s="16" t="n"/>
      <c r="D47" s="16" t="n"/>
      <c r="E47" s="16" t="n"/>
      <c r="F47" s="16" t="n"/>
      <c r="G47" s="16" t="n"/>
      <c r="H47" s="16" t="n"/>
      <c r="I47" s="16" t="n"/>
      <c r="J47" s="16" t="n"/>
      <c r="K47" s="16" t="n"/>
      <c r="L47" s="18">
        <f>IF(N(H47)=0,"",I47/H47)</f>
        <v/>
      </c>
      <c r="M47" s="16" t="n"/>
      <c r="N47" s="16" t="n"/>
      <c r="O47" s="16" t="n"/>
      <c r="P47" s="16" t="n"/>
      <c r="Q47" s="16" t="n"/>
    </row>
    <row r="48">
      <c r="A48" s="16" t="n"/>
      <c r="B48" s="16" t="n"/>
      <c r="C48" s="16" t="n"/>
      <c r="D48" s="16" t="n"/>
      <c r="E48" s="16" t="n"/>
      <c r="F48" s="16" t="n"/>
      <c r="G48" s="16" t="n"/>
      <c r="H48" s="16" t="n"/>
      <c r="I48" s="16" t="n"/>
      <c r="J48" s="16" t="n"/>
      <c r="K48" s="16" t="n"/>
      <c r="L48" s="18">
        <f>IF(N(H48)=0,"",I48/H48)</f>
        <v/>
      </c>
      <c r="M48" s="16" t="n"/>
      <c r="N48" s="16" t="n"/>
      <c r="O48" s="16" t="n"/>
      <c r="P48" s="16" t="n"/>
      <c r="Q48" s="16" t="n"/>
    </row>
    <row r="49">
      <c r="A49" s="16" t="n"/>
      <c r="B49" s="16" t="n"/>
      <c r="C49" s="16" t="n"/>
      <c r="D49" s="16" t="n"/>
      <c r="E49" s="16" t="n"/>
      <c r="F49" s="16" t="n"/>
      <c r="G49" s="16" t="n"/>
      <c r="H49" s="16" t="n"/>
      <c r="I49" s="16" t="n"/>
      <c r="J49" s="16" t="n"/>
      <c r="K49" s="16" t="n"/>
      <c r="L49" s="18">
        <f>IF(N(H49)=0,"",I49/H49)</f>
        <v/>
      </c>
      <c r="M49" s="16" t="n"/>
      <c r="N49" s="16" t="n"/>
      <c r="O49" s="16" t="n"/>
      <c r="P49" s="16" t="n"/>
      <c r="Q49" s="16" t="n"/>
    </row>
    <row r="50">
      <c r="A50" s="16" t="n"/>
      <c r="B50" s="16" t="n"/>
      <c r="C50" s="16" t="n"/>
      <c r="D50" s="16" t="n"/>
      <c r="E50" s="16" t="n"/>
      <c r="F50" s="16" t="n"/>
      <c r="G50" s="16" t="n"/>
      <c r="H50" s="16" t="n"/>
      <c r="I50" s="16" t="n"/>
      <c r="J50" s="16" t="n"/>
      <c r="K50" s="16" t="n"/>
      <c r="L50" s="18">
        <f>IF(N(H50)=0,"",I50/H50)</f>
        <v/>
      </c>
      <c r="M50" s="16" t="n"/>
      <c r="N50" s="16" t="n"/>
      <c r="O50" s="16" t="n"/>
      <c r="P50" s="16" t="n"/>
      <c r="Q50" s="16" t="n"/>
    </row>
    <row r="51">
      <c r="A51" s="16" t="n"/>
      <c r="B51" s="16" t="n"/>
      <c r="C51" s="16" t="n"/>
      <c r="D51" s="16" t="n"/>
      <c r="E51" s="16" t="n"/>
      <c r="F51" s="16" t="n"/>
      <c r="G51" s="16" t="n"/>
      <c r="H51" s="16" t="n"/>
      <c r="I51" s="16" t="n"/>
      <c r="J51" s="16" t="n"/>
      <c r="K51" s="16" t="n"/>
      <c r="L51" s="18">
        <f>IF(N(H51)=0,"",I51/H51)</f>
        <v/>
      </c>
      <c r="M51" s="16" t="n"/>
      <c r="N51" s="16" t="n"/>
      <c r="O51" s="16" t="n"/>
      <c r="P51" s="16" t="n"/>
      <c r="Q51" s="16" t="n"/>
    </row>
    <row r="52">
      <c r="A52" s="16" t="n"/>
      <c r="B52" s="16" t="n"/>
      <c r="C52" s="16" t="n"/>
      <c r="D52" s="16" t="n"/>
      <c r="E52" s="16" t="n"/>
      <c r="F52" s="16" t="n"/>
      <c r="G52" s="16" t="n"/>
      <c r="H52" s="16" t="n"/>
      <c r="I52" s="16" t="n"/>
      <c r="J52" s="16" t="n"/>
      <c r="K52" s="16" t="n"/>
      <c r="L52" s="18">
        <f>IF(N(H52)=0,"",I52/H52)</f>
        <v/>
      </c>
      <c r="M52" s="16" t="n"/>
      <c r="N52" s="16" t="n"/>
      <c r="O52" s="16" t="n"/>
      <c r="P52" s="16" t="n"/>
      <c r="Q52" s="16" t="n"/>
    </row>
    <row r="53">
      <c r="A53" s="16" t="n"/>
      <c r="B53" s="16" t="n"/>
      <c r="C53" s="16" t="n"/>
      <c r="D53" s="16" t="n"/>
      <c r="E53" s="16" t="n"/>
      <c r="F53" s="16" t="n"/>
      <c r="G53" s="16" t="n"/>
      <c r="H53" s="16" t="n"/>
      <c r="I53" s="16" t="n"/>
      <c r="J53" s="16" t="n"/>
      <c r="K53" s="16" t="n"/>
      <c r="L53" s="18">
        <f>IF(N(H53)=0,"",I53/H53)</f>
        <v/>
      </c>
      <c r="M53" s="16" t="n"/>
      <c r="N53" s="16" t="n"/>
      <c r="O53" s="16" t="n"/>
      <c r="P53" s="16" t="n"/>
      <c r="Q53" s="16" t="n"/>
    </row>
    <row r="54">
      <c r="A54" s="16" t="n"/>
      <c r="B54" s="16" t="n"/>
      <c r="C54" s="16" t="n"/>
      <c r="D54" s="16" t="n"/>
      <c r="E54" s="16" t="n"/>
      <c r="F54" s="16" t="n"/>
      <c r="G54" s="16" t="n"/>
      <c r="H54" s="16" t="n"/>
      <c r="I54" s="16" t="n"/>
      <c r="J54" s="16" t="n"/>
      <c r="K54" s="16" t="n"/>
      <c r="L54" s="18">
        <f>IF(N(H54)=0,"",I54/H54)</f>
        <v/>
      </c>
      <c r="M54" s="16" t="n"/>
      <c r="N54" s="16" t="n"/>
      <c r="O54" s="16" t="n"/>
      <c r="P54" s="16" t="n"/>
      <c r="Q54" s="16" t="n"/>
    </row>
    <row r="55">
      <c r="A55" s="16" t="n"/>
      <c r="B55" s="16" t="n"/>
      <c r="C55" s="16" t="n"/>
      <c r="D55" s="16" t="n"/>
      <c r="E55" s="16" t="n"/>
      <c r="F55" s="16" t="n"/>
      <c r="G55" s="16" t="n"/>
      <c r="H55" s="16" t="n"/>
      <c r="I55" s="16" t="n"/>
      <c r="J55" s="16" t="n"/>
      <c r="K55" s="16" t="n"/>
      <c r="L55" s="18">
        <f>IF(N(H55)=0,"",I55/H55)</f>
        <v/>
      </c>
      <c r="M55" s="16" t="n"/>
      <c r="N55" s="16" t="n"/>
      <c r="O55" s="16" t="n"/>
      <c r="P55" s="16" t="n"/>
      <c r="Q55" s="16" t="n"/>
    </row>
    <row r="56">
      <c r="A56" s="16" t="n"/>
      <c r="B56" s="16" t="n"/>
      <c r="C56" s="16" t="n"/>
      <c r="D56" s="16" t="n"/>
      <c r="E56" s="16" t="n"/>
      <c r="F56" s="16" t="n"/>
      <c r="G56" s="16" t="n"/>
      <c r="H56" s="16" t="n"/>
      <c r="I56" s="16" t="n"/>
      <c r="J56" s="16" t="n"/>
      <c r="K56" s="16" t="n"/>
      <c r="L56" s="18">
        <f>IF(N(H56)=0,"",I56/H56)</f>
        <v/>
      </c>
      <c r="M56" s="16" t="n"/>
      <c r="N56" s="16" t="n"/>
      <c r="O56" s="16" t="n"/>
      <c r="P56" s="16" t="n"/>
      <c r="Q56" s="16" t="n"/>
    </row>
    <row r="57">
      <c r="A57" s="16" t="n"/>
      <c r="B57" s="16" t="n"/>
      <c r="C57" s="16" t="n"/>
      <c r="D57" s="16" t="n"/>
      <c r="E57" s="16" t="n"/>
      <c r="F57" s="16" t="n"/>
      <c r="G57" s="16" t="n"/>
      <c r="H57" s="16" t="n"/>
      <c r="I57" s="16" t="n"/>
      <c r="J57" s="16" t="n"/>
      <c r="K57" s="16" t="n"/>
      <c r="L57" s="18">
        <f>IF(N(H57)=0,"",I57/H57)</f>
        <v/>
      </c>
      <c r="M57" s="16" t="n"/>
      <c r="N57" s="16" t="n"/>
      <c r="O57" s="16" t="n"/>
      <c r="P57" s="16" t="n"/>
      <c r="Q57" s="16" t="n"/>
    </row>
    <row r="58">
      <c r="A58" s="16" t="n"/>
      <c r="B58" s="16" t="n"/>
      <c r="C58" s="16" t="n"/>
      <c r="D58" s="16" t="n"/>
      <c r="E58" s="16" t="n"/>
      <c r="F58" s="16" t="n"/>
      <c r="G58" s="16" t="n"/>
      <c r="H58" s="16" t="n"/>
      <c r="I58" s="16" t="n"/>
      <c r="J58" s="16" t="n"/>
      <c r="K58" s="16" t="n"/>
      <c r="L58" s="18">
        <f>IF(N(H58)=0,"",I58/H58)</f>
        <v/>
      </c>
      <c r="M58" s="16" t="n"/>
      <c r="N58" s="16" t="n"/>
      <c r="O58" s="16" t="n"/>
      <c r="P58" s="16" t="n"/>
      <c r="Q58" s="16" t="n"/>
    </row>
    <row r="59">
      <c r="A59" s="16" t="n"/>
      <c r="B59" s="16" t="n"/>
      <c r="C59" s="16" t="n"/>
      <c r="D59" s="16" t="n"/>
      <c r="E59" s="16" t="n"/>
      <c r="F59" s="16" t="n"/>
      <c r="G59" s="16" t="n"/>
      <c r="H59" s="16" t="n"/>
      <c r="I59" s="16" t="n"/>
      <c r="J59" s="16" t="n"/>
      <c r="K59" s="16" t="n"/>
      <c r="L59" s="18">
        <f>IF(N(H59)=0,"",I59/H59)</f>
        <v/>
      </c>
      <c r="M59" s="16" t="n"/>
      <c r="N59" s="16" t="n"/>
      <c r="O59" s="16" t="n"/>
      <c r="P59" s="16" t="n"/>
      <c r="Q59" s="16" t="n"/>
    </row>
    <row r="60">
      <c r="A60" s="16" t="n"/>
      <c r="B60" s="16" t="n"/>
      <c r="C60" s="16" t="n"/>
      <c r="D60" s="16" t="n"/>
      <c r="E60" s="16" t="n"/>
      <c r="F60" s="16" t="n"/>
      <c r="G60" s="16" t="n"/>
      <c r="H60" s="16" t="n"/>
      <c r="I60" s="16" t="n"/>
      <c r="J60" s="16" t="n"/>
      <c r="K60" s="16" t="n"/>
      <c r="L60" s="18">
        <f>IF(N(H60)=0,"",I60/H60)</f>
        <v/>
      </c>
      <c r="M60" s="16" t="n"/>
      <c r="N60" s="16" t="n"/>
      <c r="O60" s="16" t="n"/>
      <c r="P60" s="16" t="n"/>
      <c r="Q60" s="16" t="n"/>
    </row>
  </sheetData>
  <autoFilter ref="A2:Q2"/>
  <mergeCells count="1">
    <mergeCell ref="A1:Q1"/>
  </mergeCells>
  <conditionalFormatting sqref="O3:O60">
    <cfRule type="cellIs" priority="1" operator="equal" dxfId="0">
      <formula>"GO"</formula>
    </cfRule>
    <cfRule type="cellIs" priority="2" operator="equal" dxfId="1">
      <formula>"NO-GO"</formula>
    </cfRule>
    <cfRule type="cellIs" priority="3" operator="equal" dxfId="2">
      <formula>"GO with conditions"</formula>
    </cfRule>
    <cfRule type="cellIs" priority="4" operator="equal" dxfId="3">
      <formula>"Pending"</formula>
    </cfRule>
  </conditionalFormatting>
  <dataValidations count="1">
    <dataValidation sqref="O3:O60" showDropDown="0" showInputMessage="0" showErrorMessage="0" allowBlank="1" type="list">
      <formula1>=Lists!$N$2:$N$5</formula1>
    </dataValidation>
  </dataValidations>
  <pageMargins left="0.75" right="0.75" top="1" bottom="1" header="0.5" footer="0.5"/>
</worksheet>
</file>

<file path=xl/worksheets/sheet9.xml><?xml version="1.0" encoding="utf-8"?>
<worksheet xmlns="http://schemas.openxmlformats.org/spreadsheetml/2006/main">
  <sheetPr>
    <tabColor rgb="0050596B"/>
    <outlinePr summaryBelow="1" summaryRight="1"/>
    <pageSetUpPr/>
  </sheetPr>
  <dimension ref="A1:C26"/>
  <sheetViews>
    <sheetView workbookViewId="0">
      <pane ySplit="2" topLeftCell="A3" activePane="bottomLeft" state="frozen"/>
      <selection pane="bottomLeft" activeCell="A1" sqref="A1"/>
    </sheetView>
  </sheetViews>
  <sheetFormatPr baseColWidth="8" defaultRowHeight="15"/>
  <cols>
    <col width="8" customWidth="1" min="1" max="1"/>
    <col width="110" customWidth="1" min="2" max="2"/>
    <col width="40" customWidth="1" min="3" max="3"/>
  </cols>
  <sheetData>
    <row r="1" ht="26" customHeight="1">
      <c r="A1" s="13" t="inlineStr">
        <is>
          <t>YOUR ORIGINAL NOTES — kept word for word, never edited. Every row below is traced into the Defect Log or the Change Requests sheet.</t>
        </is>
      </c>
    </row>
    <row r="2" ht="42" customHeight="1">
      <c r="A2" s="14" t="inlineStr">
        <is>
          <t>Note #</t>
        </is>
      </c>
      <c r="B2" s="14" t="inlineStr">
        <is>
          <t>Issue as originally written</t>
        </is>
      </c>
      <c r="C2" s="14" t="inlineStr">
        <is>
          <t>Location as originally written</t>
        </is>
      </c>
    </row>
    <row r="3" ht="15" customHeight="1">
      <c r="A3" s="17" t="n">
        <v>1</v>
      </c>
      <c r="B3" s="16" t="inlineStr">
        <is>
          <t>remove this caracter : —  from all the product contents</t>
        </is>
      </c>
      <c r="C3" s="16" t="inlineStr">
        <is>
          <t>https://edu.kogiagroup.com/</t>
        </is>
      </c>
    </row>
    <row r="4" ht="15" customHeight="1">
      <c r="A4" s="17" t="n">
        <v>2</v>
      </c>
      <c r="B4" s="16" t="inlineStr">
        <is>
          <t>Deux mondes  what's this mean ?</t>
        </is>
      </c>
      <c r="C4" s="16" t="inlineStr">
        <is>
          <t>https://edu.kogiagroup.com/</t>
        </is>
      </c>
    </row>
    <row r="5" ht="15" customHeight="1">
      <c r="A5" s="17" t="n">
        <v>3</v>
      </c>
      <c r="B5" s="16" t="inlineStr">
        <is>
          <t>Tarifs simples : let's convert it to Euro better</t>
        </is>
      </c>
      <c r="C5" s="16" t="inlineStr">
        <is>
          <t>https://edu.kogiagroup.com/</t>
        </is>
      </c>
    </row>
    <row r="6" ht="15" customHeight="1">
      <c r="A6" s="17" t="n">
        <v>4</v>
      </c>
      <c r="B6" s="16" t="inlineStr">
        <is>
          <t>try to eliminate Tunisia atmosphere from all product contents</t>
        </is>
      </c>
      <c r="C6" s="16" t="inlineStr">
        <is>
          <t>all product elements</t>
        </is>
      </c>
    </row>
    <row r="7" ht="15" customHeight="1">
      <c r="A7" s="17" t="n">
        <v>5</v>
      </c>
      <c r="B7" s="16" t="inlineStr">
        <is>
          <t>redirect the product to be international let's say europian</t>
        </is>
      </c>
      <c r="C7" s="16" t="inlineStr">
        <is>
          <t>all product elements</t>
        </is>
      </c>
    </row>
    <row r="8" ht="26" customHeight="1">
      <c r="A8" s="17" t="n">
        <v>6</v>
      </c>
      <c r="B8" s="16" t="inlineStr">
        <is>
          <t>Deux mondes Modules Vos données TarifsFAQ  : when I click here nothing is change because all their contents all in same page just scroll down - so I don't like it solve it</t>
        </is>
      </c>
      <c r="C8" s="16" t="inlineStr">
        <is>
          <t>https://edu.kogiagroup.com/</t>
        </is>
      </c>
    </row>
    <row r="9" ht="15" customHeight="1">
      <c r="A9" s="17" t="n">
        <v>7</v>
      </c>
      <c r="B9" s="16" t="inlineStr">
        <is>
          <t>Pré-inscription form design I don’t like make more bigger in left-right sides</t>
        </is>
      </c>
      <c r="C9" s="16" t="inlineStr">
        <is>
          <t>https://edu.kogiagroup.com/#/inscription</t>
        </is>
      </c>
    </row>
    <row r="10" ht="114" customHeight="1">
      <c r="A10" s="17" t="n">
        <v>8</v>
      </c>
      <c r="B10" s="16" t="inlineStr">
        <is>
          <t>Pre-inscription form details : choose some new details from the following info and add them into our pre-inscription form ok ? 
Preschool Registration Form
Child's Name
First
Last
Date of Birth
Gender
Male
Male
Home Address
Street Address
Street Address Line 2
City
Region
Postal / Zip Code
Bahrain
Parents Details
Mother’s Name
First
Last
Phone
### ### #### 
Address
Street Address
Street Address Line 2
City
Region
Postal / Zip Code
Bahrain
Father’s Name
First
Last
Phone
### ### #### 
Address
Street Address
Street Address Line 2
City
Region
Postal / Zip Code
Bahrain
Child Health Conditions
Does your child suffer from any allergies, illness, disability or other medical conditions?
Yes
No
If yes, please describe
Is there any other information or issues you would like the teachers to know?
Preschool Information
Please select preffered programs
2 days tuition a week
3 days tuition a week
4 days tuition a week
5 days tuition a week
before school care
after school care
before &amp; after school care
SEND</t>
        </is>
      </c>
      <c r="C10" s="16" t="inlineStr">
        <is>
          <t>https://edu.kogiagroup.com/#/inscription</t>
        </is>
      </c>
    </row>
    <row r="11" ht="150" customHeight="1">
      <c r="A11" s="17" t="n">
        <v>9</v>
      </c>
      <c r="B11" s="16" t="inlineStr">
        <is>
          <t>pre-inscription ::  please check the following details and pick what it's good for our product like condition or agreements … 2019-20 Celebrating Children Preschool Registration Form 
Forms will be accepted on or after January 22, 2019 
Registration for (choose one): 
Yellow Class (3 &amp; 4 year old): 9:30-12:00 (Mon. &amp; Wed.) ________ 
Blue Class (3 &amp; 4 year old): 9:30-12:00 (Tues. &amp; Thurs.) ________ 
Green Class (4 &amp; 5 year old morning class):  9:30-12:00 (Tues. Wed. &amp; Thurs.) ________ 
Red Class (4 &amp; 5 year old afternoon class): 12:45-3:15 (Tues. Wed. &amp; Thurs.) ________ 
Purple High Five: 9:30-12:00 (Mon. Tues. Wed. &amp; Thurs.)________ 
Child’s Name              
Preferred Name          
_______  
Primary Phone    
Address (include City and Zip Code)          
Date of Birth        
________________ 
_____ _                  
Parent 1/Legal Guardian          
Male__________  Female__________ 
______ 
Parent 1 email address ___________________________________________________________ 
Occupation/Business Name        
____________ 
Parent 1 Work Phone ______________________Parent 1 Cell Phone ____________________      
Parent 2/Legal Guardian        
__________________ 
Parent 2 email address ___________________________________________________________ 
Occupation/Business Name         
Parent 2 Work Phone   
Name, age and school (if applicable) of siblings… 
______ 
______________Parent 2 Cell Phone _____________________       
Has anyone in your family previously been enrolled at Celebrating Children Preschool?  If so, who &amp; 
when? 
Has your child attended preschool before?  If so, where and how long? 
**class is only available if I have enough kids to run it. 
If a Non-Member, would you like to receive information about Shepherd of the Valley Lutheran Church 
and our activities?   Yes_______   No_______ 
I hereby agree that, if my child is accepted by the school, I will pay the monthly fee in advance, by the 
15th of the month, and will cooperate with the school in carrying out any requirements set for the 
parents.  I will notify the school of any changes in the information as entered on this record. 
I hereby agree to notify the school two weeks in advance of withdrawal, should such an event occur, 
or pay the difference. 
An immunization record must be on file before the child may attend.   After a trial period, the school 
reserves the right of dismissing a child who does not fit into the school’s program or whose parents do 
not cooperate with the school. 
SIGNED         
SIGNED         
Date    
_____ 
(Mother or legal guardian) 
Date    
____ 
(Father or legal guardian) 
Please attach a check to the completed registration form which includes a 
$50.00 non-refundable registration fee plus ½ month’s tuition of $65.00 for a total of $115.00 the   
3 year old classes 
or 
$50.00 non-refundable registration fee plus ½ month’s tuition of $78.00 for a total of $130.00 for 
the 4 year old classes 
or 
$50.00 non-refundable registration fee plus ½ month’s tuition of $92.50 for a total of $142.50 for 
the High Five class 
Tuition is refundable until July 1, 2019 for all classes 
In the event that my child does not get into the session that has been requested, please… 
____ put my child’s name on the morning waiting list (3/4’s please circle    M &amp; W      
____put my child’s name on the afternoon waiting list (only available to 4/5 class) 
T &amp; Th      
or     
____put my child’s name on both the morning and afternoon waiting lists (only available to 4/5 class) 
____remove my child’s registration  
destroy       
I am willing to donate      
and 
or        
return      
my check.      
(For office use only) 
REGISTRATION INFORMATION 
(circle one) 
to the CCP scholarship fund. 
Date Paid: _____________________________ 
Amount Paid: __________________________ 
 Both) 
Check Number: _________________________</t>
        </is>
      </c>
      <c r="C11" s="16" t="inlineStr">
        <is>
          <t>https://edu.kogiagroup.com/#/inscription</t>
        </is>
      </c>
    </row>
    <row r="12" ht="48" customHeight="1">
      <c r="A12" s="17" t="n">
        <v>10</v>
      </c>
      <c r="B12" s="16" t="inlineStr">
        <is>
          <t>when the parent choose level each level has his conditions and rules and formats .. So I think we have 4 category right Crèche
Pré-maternelle  
1ère année -- so better to change the form into several steps because each category has his different details should fill it  : Niveau demandé *
Crèche
Pré-maternelle
Maternelle 1
Maternelle 2
1ère année
2ème année
3ème année
4ème année
5ème année
6ème année</t>
        </is>
      </c>
      <c r="C12" s="16" t="inlineStr">
        <is>
          <t>https://edu.kogiagroup.com/#/inscription</t>
        </is>
      </c>
    </row>
    <row r="13" ht="15" customHeight="1">
      <c r="A13" s="17" t="n">
        <v>11</v>
      </c>
      <c r="B13" s="16" t="inlineStr">
        <is>
          <t>page design is terrable and size page not fit the browser page</t>
        </is>
      </c>
      <c r="C13" s="16" t="inlineStr">
        <is>
          <t>https://edu.kogiagroup.com/#/login</t>
        </is>
      </c>
    </row>
    <row r="14" ht="48" customHeight="1">
      <c r="A14" s="17" t="n">
        <v>12</v>
      </c>
      <c r="B14" s="16" t="inlineStr">
        <is>
          <t>those details  are not attractive change other things : Pas un ERP scolaire de plus
L'école qu'on a envie d'ouvrir.
Évaluer une classe en 30 secondes, suivre la journée de son enfant en direct, organiser la vie commune — web et mobile, les mêmes données.
Tableau de bord · aujourd'hui
121
Élèves
96%
Présence
8
À décider
par Kogia Group · © 2026 · Tunisie</t>
        </is>
      </c>
      <c r="C14" s="16" t="inlineStr">
        <is>
          <t>https://edu.kogiagroup.com/#/login</t>
        </is>
      </c>
    </row>
    <row r="15" ht="26" customHeight="1">
      <c r="A15" s="17" t="n">
        <v>13</v>
      </c>
      <c r="B15" s="16" t="inlineStr">
        <is>
          <t>password forgeten not found - so apply it and let's support@kogiagroup.com manage the the mecanism of password forgeten</t>
        </is>
      </c>
      <c r="C15" s="16" t="inlineStr">
        <is>
          <t>https://edu.kogiagroup.com/#/login</t>
        </is>
      </c>
    </row>
    <row r="16" ht="59" customHeight="1">
      <c r="A16" s="17" t="n">
        <v>14</v>
      </c>
      <c r="B16" s="16" t="inlineStr">
        <is>
          <t>develop it more and more this platform is managing the school that they are buying our product - beside what you want how to improve it with more features ( do search here to collect more infos) I have something I want you to do it I want corner that have some school details like their emails their domain ports ips some configs so when I want to check the school directly I can login and check what happen there maybe now not all infos exist so just prepare what we have now</t>
        </is>
      </c>
      <c r="C16" s="16" t="inlineStr">
        <is>
          <t>https://edu.kogiagroup.com/#/app - Kogia Group (Plateforme)</t>
        </is>
      </c>
    </row>
    <row r="17" ht="15" customHeight="1">
      <c r="A17" s="17" t="n">
        <v>15</v>
      </c>
      <c r="B17" s="16" t="inlineStr">
        <is>
          <t>in tableau de bord : there's some feature not clickable - check them all</t>
        </is>
      </c>
      <c r="C17" s="16" t="inlineStr">
        <is>
          <t>https://edu.kogiagroup.com/#/app - Kogia Group (Plateforme)</t>
        </is>
      </c>
    </row>
    <row r="18" ht="15" customHeight="1">
      <c r="A18" s="17" t="n">
        <v>16</v>
      </c>
      <c r="B18" s="16" t="inlineStr">
        <is>
          <t>meteo change the design make little small</t>
        </is>
      </c>
      <c r="C18" s="16" t="inlineStr">
        <is>
          <t>in all product elements</t>
        </is>
      </c>
    </row>
    <row r="19" ht="48" customHeight="1">
      <c r="A19" s="17" t="n">
        <v>17</v>
      </c>
      <c r="B19" s="16" t="inlineStr">
        <is>
          <t>I feel that platform direction has same platform Administration here we need understand more the tasks belong to each one - what I see Administration receive requests or create requests or see the dashboard of the evaluations of the students ||| direction the more view content or monitoring or final approve for the requests comes from admisnistration...anyway search more about the relation between the administration and direction.</t>
        </is>
      </c>
      <c r="C19" s="16" t="inlineStr">
        <is>
          <t>https://edu.kogiagroup.com/#/app --- Direction</t>
        </is>
      </c>
    </row>
    <row r="20" ht="81" customHeight="1">
      <c r="A20" s="17" t="n">
        <v>18</v>
      </c>
      <c r="B20" s="16" t="inlineStr">
        <is>
          <t>administration platform is center platform have many entries and many out - what I see now that all registration from students or teachers or anything else is not under ID number - so now rebuild it to be anything is under ID number - for example request from teacher has ID start Teacher_numbers_... registration new student student_number request accidents same I don't mean write id : student_8797 do the abreviation or find the right way how big company do and there's another ID is for human mean with previous id for human should any human has his ID for student sure they passport or ID so let parent should how they register and for adult human same they can choose also .. so we 2 IDs one ID for all things and human has IDs + Identity number \Passport</t>
        </is>
      </c>
      <c r="C20" s="16" t="inlineStr">
        <is>
          <t>https://edu.kogiagroup.com/#/app --- Administration</t>
        </is>
      </c>
    </row>
    <row r="21" ht="26" customHeight="1">
      <c r="A21" s="17" t="n">
        <v>19</v>
      </c>
      <c r="B21" s="16" t="inlineStr">
        <is>
          <t>Coreon Intelligence  ce que vos données disent cette semaine  : it's not in same line there's little degradation check it</t>
        </is>
      </c>
      <c r="C21" s="16" t="inlineStr">
        <is>
          <t>https://edu.kogiagroup.com/#/app --- Administration</t>
        </is>
      </c>
    </row>
    <row r="22" ht="26" customHeight="1">
      <c r="A22" s="17" t="n">
        <v>20</v>
      </c>
      <c r="B22" s="16" t="inlineStr">
        <is>
          <t>how Administration platform has all services in one platform ?! Any school has departments even one person wrok in that dept</t>
        </is>
      </c>
      <c r="C22" s="16" t="inlineStr">
        <is>
          <t>all product elements</t>
        </is>
      </c>
    </row>
    <row r="23" ht="26" customHeight="1">
      <c r="A23" s="17" t="n">
        <v>21</v>
      </c>
      <c r="B23" s="16" t="inlineStr">
        <is>
          <t>not logical that one platform admiin has all depts in one platform so it's time to create real platforms for HR ADMINSTRTION ACCOUNTNT</t>
        </is>
      </c>
      <c r="C23" s="16" t="inlineStr">
        <is>
          <t>all product elements</t>
        </is>
      </c>
    </row>
    <row r="24" ht="37" customHeight="1">
      <c r="A24" s="17" t="n">
        <v>22</v>
      </c>
      <c r="B24" s="16" t="inlineStr">
        <is>
          <t>Do search about the relations between DIRECTION ADMINSTRTION HR ACCOUNTANT SUPERVISOR SECURITY TEACHER PARENT for school and all the levels : Crèche
Pré-maternelle
Maternelle 1
Maternelle 2
1ère année
2ème année
3ème année
4ème année
5ème année
6ème année</t>
        </is>
      </c>
      <c r="C24" s="16" t="inlineStr">
        <is>
          <t>all product elements</t>
        </is>
      </c>
    </row>
    <row r="25" ht="26" customHeight="1">
      <c r="A25" s="17" t="n">
        <v>23</v>
      </c>
      <c r="B25" s="16" t="inlineStr">
        <is>
          <t>I know keep repeating same issue but I want to clear that we want change the current situation of product to real erp system</t>
        </is>
      </c>
      <c r="C25" s="16" t="inlineStr">
        <is>
          <t>all product elements</t>
        </is>
      </c>
    </row>
    <row r="26" ht="26" customHeight="1">
      <c r="A26" s="17" t="n">
        <v>24</v>
      </c>
      <c r="B26" s="16" t="inlineStr">
        <is>
          <t>Bulletins &amp; passage :: how teacher can give notes to all the classroom math english french Mathématiques
/20
Français
/20
Arabe
/20
Éveil scientifique
/20
Anglais</t>
        </is>
      </c>
      <c r="C26" s="16" t="inlineStr">
        <is>
          <t>https://edu.kogiagroup.com/#/app/academic</t>
        </is>
      </c>
    </row>
  </sheetData>
  <autoFilter ref="A2:C2"/>
  <mergeCells count="1">
    <mergeCell ref="A1:C1"/>
  </mergeCells>
  <pageMargins left="0.75" right="0.75" top="1" bottom="1" header="0.5" footer="0.5"/>
</worksheet>
</file>

<file path=xl/worksheets/sheet10.xml><?xml version="1.0" encoding="utf-8"?>
<worksheet xmlns="http://schemas.openxmlformats.org/spreadsheetml/2006/main">
  <sheetPr>
    <tabColor rgb="0050596B"/>
    <outlinePr summaryBelow="1" summaryRight="1"/>
    <pageSetUpPr/>
  </sheetPr>
  <dimension ref="A1:Q2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7" customWidth="1" min="4" max="4"/>
    <col width="14" customWidth="1" min="5" max="5"/>
    <col width="14" customWidth="1" min="6" max="6"/>
    <col width="17" customWidth="1" min="7" max="7"/>
    <col width="14" customWidth="1" min="8" max="8"/>
    <col width="18" customWidth="1" min="9" max="9"/>
    <col width="14" customWidth="1" min="10" max="10"/>
    <col width="14" customWidth="1" min="11" max="11"/>
    <col width="18" customWidth="1" min="12" max="12"/>
    <col width="14" customWidth="1" min="13" max="13"/>
    <col width="14" customWidth="1" min="14" max="14"/>
    <col width="14" customWidth="1" min="15" max="15"/>
    <col width="14" customWidth="1" min="16" max="16"/>
    <col width="14" customWidth="1" min="17" max="17"/>
  </cols>
  <sheetData>
    <row r="1">
      <c r="A1" s="19" t="inlineStr">
        <is>
          <t>Status</t>
        </is>
      </c>
      <c r="B1" s="19" t="inlineStr">
        <is>
          <t>Severity</t>
        </is>
      </c>
      <c r="C1" s="19" t="inlineStr">
        <is>
          <t>Priority</t>
        </is>
      </c>
      <c r="D1" s="19" t="inlineStr">
        <is>
          <t>ElementType</t>
        </is>
      </c>
      <c r="E1" s="19" t="inlineStr">
        <is>
          <t>TestType</t>
        </is>
      </c>
      <c r="F1" s="19" t="inlineStr">
        <is>
          <t>Role</t>
        </is>
      </c>
      <c r="G1" s="19" t="inlineStr">
        <is>
          <t>Environment</t>
        </is>
      </c>
      <c r="H1" s="19" t="inlineStr">
        <is>
          <t>Device</t>
        </is>
      </c>
      <c r="I1" s="19" t="inlineStr">
        <is>
          <t>DefectStatus</t>
        </is>
      </c>
      <c r="J1" s="19" t="inlineStr">
        <is>
          <t>Repro</t>
        </is>
      </c>
      <c r="K1" s="19" t="inlineStr">
        <is>
          <t>Retest</t>
        </is>
      </c>
      <c r="L1" s="19" t="inlineStr">
        <is>
          <t>ModuleStatus</t>
        </is>
      </c>
      <c r="M1" s="19" t="inlineStr">
        <is>
          <t>YesNo</t>
        </is>
      </c>
      <c r="N1" s="19" t="inlineStr">
        <is>
          <t>Decision</t>
        </is>
      </c>
      <c r="O1" s="19" t="inlineStr">
        <is>
          <t>CRType</t>
        </is>
      </c>
      <c r="P1" s="19" t="inlineStr">
        <is>
          <t>CRStatus</t>
        </is>
      </c>
      <c r="Q1" s="19" t="inlineStr">
        <is>
          <t>Effort</t>
        </is>
      </c>
    </row>
    <row r="2">
      <c r="A2" s="20" t="inlineStr">
        <is>
          <t>NOT RUN</t>
        </is>
      </c>
      <c r="B2" s="20" t="inlineStr">
        <is>
          <t>Critical</t>
        </is>
      </c>
      <c r="C2" s="20" t="inlineStr">
        <is>
          <t>P1 - Immediate</t>
        </is>
      </c>
      <c r="D2" s="20" t="inlineStr">
        <is>
          <t>Page load</t>
        </is>
      </c>
      <c r="E2" s="20" t="inlineStr">
        <is>
          <t>Functional</t>
        </is>
      </c>
      <c r="F2" s="20" t="inlineStr">
        <is>
          <t>owner</t>
        </is>
      </c>
      <c r="G2" s="20" t="inlineStr">
        <is>
          <t>Local dev</t>
        </is>
      </c>
      <c r="H2" s="20" t="inlineStr">
        <is>
          <t>Desktop Chrome</t>
        </is>
      </c>
      <c r="I2" s="20" t="inlineStr">
        <is>
          <t>NEW</t>
        </is>
      </c>
      <c r="J2" s="20" t="inlineStr">
        <is>
          <t>Always</t>
        </is>
      </c>
      <c r="K2" s="20" t="inlineStr">
        <is>
          <t>Not retested</t>
        </is>
      </c>
      <c r="L2" s="20" t="inlineStr">
        <is>
          <t>Not started</t>
        </is>
      </c>
      <c r="M2" s="20" t="inlineStr">
        <is>
          <t>Yes</t>
        </is>
      </c>
      <c r="N2" s="20" t="inlineStr">
        <is>
          <t>GO</t>
        </is>
      </c>
      <c r="O2" s="20" t="inlineStr">
        <is>
          <t>Enhancement</t>
        </is>
      </c>
      <c r="P2" s="20" t="inlineStr">
        <is>
          <t>NEW</t>
        </is>
      </c>
      <c r="Q2" s="20" t="inlineStr">
        <is>
          <t>XS</t>
        </is>
      </c>
    </row>
    <row r="3">
      <c r="A3" s="20" t="inlineStr">
        <is>
          <t>PASS</t>
        </is>
      </c>
      <c r="B3" s="20" t="inlineStr">
        <is>
          <t>Major</t>
        </is>
      </c>
      <c r="C3" s="20" t="inlineStr">
        <is>
          <t>P2 - High</t>
        </is>
      </c>
      <c r="D3" s="20" t="inlineStr">
        <is>
          <t>Button</t>
        </is>
      </c>
      <c r="E3" s="20" t="inlineStr">
        <is>
          <t>UI / Visual</t>
        </is>
      </c>
      <c r="F3" s="20" t="inlineStr">
        <is>
          <t>schooladmin</t>
        </is>
      </c>
      <c r="G3" s="20" t="inlineStr">
        <is>
          <t>Local build</t>
        </is>
      </c>
      <c r="H3" s="20" t="inlineStr">
        <is>
          <t>Desktop Firefox</t>
        </is>
      </c>
      <c r="I3" s="20" t="inlineStr">
        <is>
          <t>OPEN</t>
        </is>
      </c>
      <c r="J3" s="20" t="inlineStr">
        <is>
          <t>Sometimes</t>
        </is>
      </c>
      <c r="K3" s="20" t="inlineStr">
        <is>
          <t>PASS</t>
        </is>
      </c>
      <c r="L3" s="20" t="inlineStr">
        <is>
          <t>In progress</t>
        </is>
      </c>
      <c r="M3" s="20" t="inlineStr">
        <is>
          <t>No</t>
        </is>
      </c>
      <c r="N3" s="20" t="inlineStr">
        <is>
          <t>NO-GO</t>
        </is>
      </c>
      <c r="O3" s="20" t="inlineStr">
        <is>
          <t>New feature</t>
        </is>
      </c>
      <c r="P3" s="20" t="inlineStr">
        <is>
          <t>TRIAGED</t>
        </is>
      </c>
      <c r="Q3" s="20" t="inlineStr">
        <is>
          <t>S</t>
        </is>
      </c>
    </row>
    <row r="4">
      <c r="A4" s="20" t="inlineStr">
        <is>
          <t>FAIL</t>
        </is>
      </c>
      <c r="B4" s="20" t="inlineStr">
        <is>
          <t>Minor</t>
        </is>
      </c>
      <c r="C4" s="20" t="inlineStr">
        <is>
          <t>P3 - Medium</t>
        </is>
      </c>
      <c r="D4" s="20" t="inlineStr">
        <is>
          <t>Link</t>
        </is>
      </c>
      <c r="E4" s="20" t="inlineStr">
        <is>
          <t>Negative</t>
        </is>
      </c>
      <c r="F4" s="20" t="inlineStr">
        <is>
          <t>admin</t>
        </is>
      </c>
      <c r="G4" s="20" t="inlineStr">
        <is>
          <t>Server mode</t>
        </is>
      </c>
      <c r="H4" s="20" t="inlineStr">
        <is>
          <t>Desktop Safari</t>
        </is>
      </c>
      <c r="I4" s="20" t="inlineStr">
        <is>
          <t>IN PROGRESS</t>
        </is>
      </c>
      <c r="J4" s="20" t="inlineStr">
        <is>
          <t>Once only</t>
        </is>
      </c>
      <c r="K4" s="20" t="inlineStr">
        <is>
          <t>FAIL</t>
        </is>
      </c>
      <c r="L4" s="20" t="inlineStr">
        <is>
          <t>Complete</t>
        </is>
      </c>
      <c r="N4" s="20" t="inlineStr">
        <is>
          <t>GO with conditions</t>
        </is>
      </c>
      <c r="O4" s="20" t="inlineStr">
        <is>
          <t>Design</t>
        </is>
      </c>
      <c r="P4" s="20" t="inlineStr">
        <is>
          <t>APPROVED</t>
        </is>
      </c>
      <c r="Q4" s="20" t="inlineStr">
        <is>
          <t>M</t>
        </is>
      </c>
    </row>
    <row r="5">
      <c r="A5" s="20" t="inlineStr">
        <is>
          <t>BLOCKED</t>
        </is>
      </c>
      <c r="B5" s="20" t="inlineStr">
        <is>
          <t>Trivial</t>
        </is>
      </c>
      <c r="C5" s="20" t="inlineStr">
        <is>
          <t>P4 - Low</t>
        </is>
      </c>
      <c r="D5" s="20" t="inlineStr">
        <is>
          <t>Form field</t>
        </is>
      </c>
      <c r="E5" s="20" t="inlineStr">
        <is>
          <t>Access control</t>
        </is>
      </c>
      <c r="F5" s="20" t="inlineStr">
        <is>
          <t>teacher</t>
        </is>
      </c>
      <c r="G5" s="20" t="inlineStr">
        <is>
          <t>GitHub Pages</t>
        </is>
      </c>
      <c r="H5" s="20" t="inlineStr">
        <is>
          <t>Desktop Edge</t>
        </is>
      </c>
      <c r="I5" s="20" t="inlineStr">
        <is>
          <t>FIXED</t>
        </is>
      </c>
      <c r="J5" s="20" t="inlineStr">
        <is>
          <t>Not reproduced</t>
        </is>
      </c>
      <c r="L5" s="20" t="inlineStr">
        <is>
          <t>Blocked</t>
        </is>
      </c>
      <c r="N5" s="20" t="inlineStr">
        <is>
          <t>Pending</t>
        </is>
      </c>
      <c r="O5" s="20" t="inlineStr">
        <is>
          <t>Content</t>
        </is>
      </c>
      <c r="P5" s="20" t="inlineStr">
        <is>
          <t>IN PROGRESS</t>
        </is>
      </c>
      <c r="Q5" s="20" t="inlineStr">
        <is>
          <t>L</t>
        </is>
      </c>
    </row>
    <row r="6">
      <c r="A6" s="20" t="inlineStr">
        <is>
          <t>N-A</t>
        </is>
      </c>
      <c r="D6" s="20" t="inlineStr">
        <is>
          <t>Form submit</t>
        </is>
      </c>
      <c r="E6" s="20" t="inlineStr">
        <is>
          <t>Business rule</t>
        </is>
      </c>
      <c r="F6" s="20" t="inlineStr">
        <is>
          <t>supervisor</t>
        </is>
      </c>
      <c r="G6" s="20" t="inlineStr">
        <is>
          <t>edu.kogiagroup.com</t>
        </is>
      </c>
      <c r="H6" s="20" t="inlineStr">
        <is>
          <t>Mobile Chrome 390px</t>
        </is>
      </c>
      <c r="I6" s="20" t="inlineStr">
        <is>
          <t>READY TO RETEST</t>
        </is>
      </c>
      <c r="L6" s="20" t="inlineStr">
        <is>
          <t>Out of scope</t>
        </is>
      </c>
      <c r="O6" s="20" t="inlineStr">
        <is>
          <t>Epic</t>
        </is>
      </c>
      <c r="P6" s="20" t="inlineStr">
        <is>
          <t>DONE</t>
        </is>
      </c>
      <c r="Q6" s="20" t="inlineStr">
        <is>
          <t>XL</t>
        </is>
      </c>
    </row>
    <row r="7">
      <c r="D7" s="20" t="inlineStr">
        <is>
          <t>Dropdown</t>
        </is>
      </c>
      <c r="E7" s="20" t="inlineStr">
        <is>
          <t>Data integrity</t>
        </is>
      </c>
      <c r="F7" s="20" t="inlineStr">
        <is>
          <t>security</t>
        </is>
      </c>
      <c r="H7" s="20" t="inlineStr">
        <is>
          <t>Mobile Safari iOS</t>
        </is>
      </c>
      <c r="I7" s="20" t="inlineStr">
        <is>
          <t>CLOSED</t>
        </is>
      </c>
      <c r="O7" s="20" t="inlineStr">
        <is>
          <t>Research</t>
        </is>
      </c>
      <c r="P7" s="20" t="inlineStr">
        <is>
          <t>REJECTED</t>
        </is>
      </c>
    </row>
    <row r="8">
      <c r="D8" s="20" t="inlineStr">
        <is>
          <t>Checkbox</t>
        </is>
      </c>
      <c r="E8" s="20" t="inlineStr">
        <is>
          <t>Responsive</t>
        </is>
      </c>
      <c r="F8" s="20" t="inlineStr">
        <is>
          <t>parent</t>
        </is>
      </c>
      <c r="H8" s="20" t="inlineStr">
        <is>
          <t>Tablet</t>
        </is>
      </c>
      <c r="I8" s="20" t="inlineStr">
        <is>
          <t>REOPENED</t>
        </is>
      </c>
      <c r="P8" s="20" t="inlineStr">
        <is>
          <t>DEFERRED</t>
        </is>
      </c>
    </row>
    <row r="9">
      <c r="D9" s="20" t="inlineStr">
        <is>
          <t>Radio</t>
        </is>
      </c>
      <c r="E9" s="20" t="inlineStr">
        <is>
          <t>RTL / Arabic</t>
        </is>
      </c>
      <c r="F9" s="20" t="inlineStr">
        <is>
          <t>not logged in</t>
        </is>
      </c>
      <c r="H9" s="20" t="inlineStr">
        <is>
          <t>Expo mobile app</t>
        </is>
      </c>
      <c r="I9" s="20" t="inlineStr">
        <is>
          <t>WON'T FIX</t>
        </is>
      </c>
    </row>
    <row r="10">
      <c r="D10" s="20" t="inlineStr">
        <is>
          <t>Toggle</t>
        </is>
      </c>
      <c r="E10" s="20" t="inlineStr">
        <is>
          <t>Accessibility</t>
        </is>
      </c>
      <c r="I10" s="20" t="inlineStr">
        <is>
          <t>DUPLICATE</t>
        </is>
      </c>
    </row>
    <row r="11">
      <c r="D11" s="20" t="inlineStr">
        <is>
          <t>Tab</t>
        </is>
      </c>
      <c r="E11" s="20" t="inlineStr">
        <is>
          <t>Performance</t>
        </is>
      </c>
      <c r="I11" s="20" t="inlineStr">
        <is>
          <t>NOT A BUG</t>
        </is>
      </c>
    </row>
    <row r="12">
      <c r="D12" s="20" t="inlineStr">
        <is>
          <t>Modal</t>
        </is>
      </c>
      <c r="E12" s="20" t="inlineStr">
        <is>
          <t>Security</t>
        </is>
      </c>
    </row>
    <row r="13">
      <c r="D13" s="20" t="inlineStr">
        <is>
          <t>Table</t>
        </is>
      </c>
      <c r="E13" s="20" t="inlineStr">
        <is>
          <t>Regression</t>
        </is>
      </c>
    </row>
    <row r="14">
      <c r="D14" s="20" t="inlineStr">
        <is>
          <t>Table sort</t>
        </is>
      </c>
      <c r="E14" s="20" t="inlineStr">
        <is>
          <t>Exploratory</t>
        </is>
      </c>
    </row>
    <row r="15">
      <c r="D15" s="20" t="inlineStr">
        <is>
          <t>Search</t>
        </is>
      </c>
    </row>
    <row r="16">
      <c r="D16" s="20" t="inlineStr">
        <is>
          <t>Filter chip</t>
        </is>
      </c>
    </row>
    <row r="17">
      <c r="D17" s="20" t="inlineStr">
        <is>
          <t>Stat tile</t>
        </is>
      </c>
    </row>
    <row r="18">
      <c r="D18" s="20" t="inlineStr">
        <is>
          <t>Icon</t>
        </is>
      </c>
    </row>
    <row r="19">
      <c r="D19" s="20" t="inlineStr">
        <is>
          <t>Menu</t>
        </is>
      </c>
    </row>
    <row r="20">
      <c r="D20" s="20" t="inlineStr">
        <is>
          <t>Drag &amp; drop</t>
        </is>
      </c>
    </row>
    <row r="21">
      <c r="D21" s="20" t="inlineStr">
        <is>
          <t>File upload</t>
        </is>
      </c>
    </row>
    <row r="22">
      <c r="D22" s="20" t="inlineStr">
        <is>
          <t>Export CSV</t>
        </is>
      </c>
    </row>
    <row r="23">
      <c r="D23" s="20" t="inlineStr">
        <is>
          <t>Print / PDF</t>
        </is>
      </c>
    </row>
    <row r="24">
      <c r="D24" s="20" t="inlineStr">
        <is>
          <t>Keyboard shortcut</t>
        </is>
      </c>
    </row>
    <row r="25">
      <c r="D25" s="20" t="inlineStr">
        <is>
          <t>Notification</t>
        </is>
      </c>
    </row>
    <row r="26">
      <c r="D26" s="20" t="inlineStr">
        <is>
          <t>Toast</t>
        </is>
      </c>
    </row>
    <row r="27">
      <c r="D27" s="20" t="inlineStr">
        <is>
          <t>Navigation</t>
        </is>
      </c>
    </row>
    <row r="28">
      <c r="D28" s="20" t="inlineStr">
        <is>
          <t>Empty state</t>
        </is>
      </c>
    </row>
    <row r="29">
      <c r="D29" s="20" t="inlineStr">
        <is>
          <t>Error state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2026-07-22T13:21:15Z</dcterms:created>
  <dcterms:modified xmlns:dcterms="http://purl.org/dc/terms/" xmlns:xsi="http://www.w3.org/2001/XMLSchema-instance" xsi:type="dcterms:W3CDTF">2026-07-25T22:07:30Z</dcterms:modified>
</cp:coreProperties>
</file>